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LISTA DE PRECIOS\"/>
    </mc:Choice>
  </mc:AlternateContent>
  <bookViews>
    <workbookView xWindow="0" yWindow="0" windowWidth="19200" windowHeight="6180"/>
  </bookViews>
  <sheets>
    <sheet name="LISTA PRECIOS 13-05-26" sheetId="1" r:id="rId1"/>
  </sheets>
  <externalReferences>
    <externalReference r:id="rId2"/>
  </externalReferences>
  <definedNames>
    <definedName name="_xlnm._FilterDatabase" localSheetId="0" hidden="1">'LISTA PRECIOS 13-05-26'!$A$13:$K$457</definedName>
    <definedName name="_xlnm.Print_Titles" localSheetId="0">'LISTA PRECIOS 13-05-26'!$13:$13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57" i="1" l="1"/>
  <c r="Q457" i="1"/>
  <c r="P457" i="1"/>
  <c r="O457" i="1"/>
  <c r="N457" i="1"/>
  <c r="M457" i="1"/>
  <c r="R456" i="1"/>
  <c r="Q456" i="1"/>
  <c r="P456" i="1"/>
  <c r="N456" i="1"/>
  <c r="M456" i="1"/>
  <c r="O456" i="1" s="1"/>
  <c r="R455" i="1"/>
  <c r="Q455" i="1"/>
  <c r="P455" i="1"/>
  <c r="O455" i="1"/>
  <c r="N455" i="1"/>
  <c r="M455" i="1"/>
  <c r="R454" i="1"/>
  <c r="Q454" i="1"/>
  <c r="P454" i="1"/>
  <c r="N454" i="1"/>
  <c r="M454" i="1"/>
  <c r="O454" i="1" s="1"/>
  <c r="R453" i="1"/>
  <c r="Q453" i="1"/>
  <c r="P453" i="1"/>
  <c r="O453" i="1"/>
  <c r="N453" i="1"/>
  <c r="M453" i="1"/>
  <c r="R452" i="1"/>
  <c r="Q452" i="1"/>
  <c r="P452" i="1"/>
  <c r="N452" i="1"/>
  <c r="M452" i="1"/>
  <c r="O452" i="1" s="1"/>
  <c r="R451" i="1"/>
  <c r="Q451" i="1"/>
  <c r="P451" i="1"/>
  <c r="O451" i="1"/>
  <c r="N451" i="1"/>
  <c r="M451" i="1"/>
  <c r="R450" i="1"/>
  <c r="Q450" i="1"/>
  <c r="P450" i="1"/>
  <c r="N450" i="1"/>
  <c r="M450" i="1"/>
  <c r="O450" i="1" s="1"/>
  <c r="R449" i="1"/>
  <c r="Q449" i="1"/>
  <c r="P449" i="1"/>
  <c r="O449" i="1"/>
  <c r="N449" i="1"/>
  <c r="M449" i="1"/>
  <c r="R448" i="1"/>
  <c r="Q448" i="1"/>
  <c r="P448" i="1"/>
  <c r="N448" i="1"/>
  <c r="M448" i="1"/>
  <c r="O448" i="1" s="1"/>
  <c r="R447" i="1"/>
  <c r="Q447" i="1"/>
  <c r="P447" i="1"/>
  <c r="O447" i="1"/>
  <c r="N447" i="1"/>
  <c r="M447" i="1"/>
  <c r="R446" i="1"/>
  <c r="Q446" i="1"/>
  <c r="P446" i="1"/>
  <c r="N446" i="1"/>
  <c r="M446" i="1"/>
  <c r="O446" i="1" s="1"/>
  <c r="R445" i="1"/>
  <c r="Q445" i="1"/>
  <c r="P445" i="1"/>
  <c r="N445" i="1"/>
  <c r="M445" i="1"/>
  <c r="R444" i="1"/>
  <c r="Q444" i="1"/>
  <c r="P444" i="1"/>
  <c r="N444" i="1"/>
  <c r="M444" i="1"/>
  <c r="R443" i="1"/>
  <c r="Q443" i="1"/>
  <c r="P443" i="1"/>
  <c r="N443" i="1"/>
  <c r="M443" i="1"/>
  <c r="O443" i="1" s="1"/>
  <c r="R442" i="1"/>
  <c r="Q442" i="1"/>
  <c r="P442" i="1"/>
  <c r="O442" i="1"/>
  <c r="N442" i="1"/>
  <c r="M442" i="1"/>
  <c r="R441" i="1"/>
  <c r="Q441" i="1"/>
  <c r="P441" i="1"/>
  <c r="N441" i="1"/>
  <c r="M441" i="1"/>
  <c r="O441" i="1" s="1"/>
  <c r="R440" i="1"/>
  <c r="Q440" i="1"/>
  <c r="P440" i="1"/>
  <c r="O440" i="1"/>
  <c r="N440" i="1"/>
  <c r="M440" i="1"/>
  <c r="R439" i="1"/>
  <c r="Q439" i="1"/>
  <c r="P439" i="1"/>
  <c r="N439" i="1"/>
  <c r="M439" i="1"/>
  <c r="O439" i="1" s="1"/>
  <c r="R438" i="1"/>
  <c r="Q438" i="1"/>
  <c r="P438" i="1"/>
  <c r="O438" i="1"/>
  <c r="N438" i="1"/>
  <c r="M438" i="1"/>
  <c r="R437" i="1"/>
  <c r="Q437" i="1"/>
  <c r="P437" i="1"/>
  <c r="N437" i="1"/>
  <c r="M437" i="1"/>
  <c r="O437" i="1" s="1"/>
  <c r="R436" i="1"/>
  <c r="Q436" i="1"/>
  <c r="P436" i="1"/>
  <c r="N436" i="1"/>
  <c r="M436" i="1"/>
  <c r="O436" i="1" s="1"/>
  <c r="R435" i="1"/>
  <c r="Q435" i="1"/>
  <c r="P435" i="1"/>
  <c r="O435" i="1"/>
  <c r="N435" i="1"/>
  <c r="M435" i="1"/>
  <c r="R434" i="1"/>
  <c r="Q434" i="1"/>
  <c r="P434" i="1"/>
  <c r="N434" i="1"/>
  <c r="M434" i="1"/>
  <c r="O434" i="1" s="1"/>
  <c r="R433" i="1"/>
  <c r="Q433" i="1"/>
  <c r="P433" i="1"/>
  <c r="O433" i="1"/>
  <c r="N433" i="1"/>
  <c r="M433" i="1"/>
  <c r="R432" i="1"/>
  <c r="Q432" i="1"/>
  <c r="P432" i="1"/>
  <c r="R431" i="1"/>
  <c r="Q431" i="1"/>
  <c r="P431" i="1"/>
  <c r="N431" i="1"/>
  <c r="M431" i="1"/>
  <c r="R430" i="1"/>
  <c r="Q430" i="1"/>
  <c r="P430" i="1"/>
  <c r="N430" i="1"/>
  <c r="M430" i="1"/>
  <c r="R429" i="1"/>
  <c r="Q429" i="1"/>
  <c r="P429" i="1"/>
  <c r="N429" i="1"/>
  <c r="M429" i="1"/>
  <c r="R428" i="1"/>
  <c r="Q428" i="1"/>
  <c r="P428" i="1"/>
  <c r="N428" i="1"/>
  <c r="M428" i="1"/>
  <c r="R427" i="1"/>
  <c r="Q427" i="1"/>
  <c r="P427" i="1"/>
  <c r="N427" i="1"/>
  <c r="M427" i="1"/>
  <c r="R426" i="1"/>
  <c r="Q426" i="1"/>
  <c r="P426" i="1"/>
  <c r="N426" i="1"/>
  <c r="M426" i="1"/>
  <c r="R425" i="1"/>
  <c r="Q425" i="1"/>
  <c r="P425" i="1"/>
  <c r="N425" i="1"/>
  <c r="M425" i="1"/>
  <c r="O425" i="1" s="1"/>
  <c r="R424" i="1"/>
  <c r="Q424" i="1"/>
  <c r="P424" i="1"/>
  <c r="N424" i="1"/>
  <c r="M424" i="1"/>
  <c r="R423" i="1"/>
  <c r="Q423" i="1"/>
  <c r="P423" i="1"/>
  <c r="N423" i="1"/>
  <c r="M423" i="1"/>
  <c r="R422" i="1"/>
  <c r="Q422" i="1"/>
  <c r="P422" i="1"/>
  <c r="N422" i="1"/>
  <c r="M422" i="1"/>
  <c r="R421" i="1"/>
  <c r="Q421" i="1"/>
  <c r="P421" i="1"/>
  <c r="N421" i="1"/>
  <c r="M421" i="1"/>
  <c r="R420" i="1"/>
  <c r="Q420" i="1"/>
  <c r="P420" i="1"/>
  <c r="R419" i="1"/>
  <c r="Q419" i="1"/>
  <c r="P419" i="1"/>
  <c r="N419" i="1"/>
  <c r="M419" i="1"/>
  <c r="O419" i="1" s="1"/>
  <c r="R418" i="1"/>
  <c r="Q418" i="1"/>
  <c r="P418" i="1"/>
  <c r="N418" i="1"/>
  <c r="M418" i="1"/>
  <c r="O418" i="1" s="1"/>
  <c r="R417" i="1"/>
  <c r="Q417" i="1"/>
  <c r="P417" i="1"/>
  <c r="N417" i="1"/>
  <c r="M417" i="1"/>
  <c r="O417" i="1" s="1"/>
  <c r="R416" i="1"/>
  <c r="Q416" i="1"/>
  <c r="P416" i="1"/>
  <c r="N416" i="1"/>
  <c r="M416" i="1"/>
  <c r="O416" i="1" s="1"/>
  <c r="R415" i="1"/>
  <c r="Q415" i="1"/>
  <c r="P415" i="1"/>
  <c r="N415" i="1"/>
  <c r="M415" i="1"/>
  <c r="O415" i="1" s="1"/>
  <c r="R414" i="1"/>
  <c r="Q414" i="1"/>
  <c r="P414" i="1"/>
  <c r="N414" i="1"/>
  <c r="M414" i="1"/>
  <c r="O414" i="1" s="1"/>
  <c r="R413" i="1"/>
  <c r="Q413" i="1"/>
  <c r="P413" i="1"/>
  <c r="N413" i="1"/>
  <c r="M413" i="1"/>
  <c r="O413" i="1" s="1"/>
  <c r="R412" i="1"/>
  <c r="Q412" i="1"/>
  <c r="P412" i="1"/>
  <c r="N412" i="1"/>
  <c r="M412" i="1"/>
  <c r="O412" i="1" s="1"/>
  <c r="R411" i="1"/>
  <c r="Q411" i="1"/>
  <c r="P411" i="1"/>
  <c r="N411" i="1"/>
  <c r="M411" i="1"/>
  <c r="O411" i="1" s="1"/>
  <c r="R410" i="1"/>
  <c r="Q410" i="1"/>
  <c r="P410" i="1"/>
  <c r="N410" i="1"/>
  <c r="M410" i="1"/>
  <c r="O410" i="1" s="1"/>
  <c r="R409" i="1"/>
  <c r="Q409" i="1"/>
  <c r="P409" i="1"/>
  <c r="N409" i="1"/>
  <c r="M409" i="1"/>
  <c r="O409" i="1" s="1"/>
  <c r="R408" i="1"/>
  <c r="Q408" i="1"/>
  <c r="P408" i="1"/>
  <c r="N408" i="1"/>
  <c r="M408" i="1"/>
  <c r="O408" i="1" s="1"/>
  <c r="R407" i="1"/>
  <c r="Q407" i="1"/>
  <c r="P407" i="1"/>
  <c r="N407" i="1"/>
  <c r="M407" i="1"/>
  <c r="O407" i="1" s="1"/>
  <c r="R406" i="1"/>
  <c r="Q406" i="1"/>
  <c r="P406" i="1"/>
  <c r="N406" i="1"/>
  <c r="M406" i="1"/>
  <c r="I406" i="1"/>
  <c r="O406" i="1" s="1"/>
  <c r="R405" i="1"/>
  <c r="Q405" i="1"/>
  <c r="P405" i="1"/>
  <c r="O405" i="1"/>
  <c r="N405" i="1"/>
  <c r="M405" i="1"/>
  <c r="I405" i="1"/>
  <c r="R404" i="1"/>
  <c r="Q404" i="1"/>
  <c r="P404" i="1"/>
  <c r="R403" i="1"/>
  <c r="Q403" i="1"/>
  <c r="P403" i="1"/>
  <c r="N403" i="1"/>
  <c r="M403" i="1"/>
  <c r="O403" i="1" s="1"/>
  <c r="R402" i="1"/>
  <c r="Q402" i="1"/>
  <c r="P402" i="1"/>
  <c r="O402" i="1"/>
  <c r="N402" i="1"/>
  <c r="M402" i="1"/>
  <c r="R401" i="1"/>
  <c r="Q401" i="1"/>
  <c r="P401" i="1"/>
  <c r="N401" i="1"/>
  <c r="M401" i="1"/>
  <c r="O401" i="1" s="1"/>
  <c r="R400" i="1"/>
  <c r="Q400" i="1"/>
  <c r="P400" i="1"/>
  <c r="O400" i="1"/>
  <c r="N400" i="1"/>
  <c r="M400" i="1"/>
  <c r="R399" i="1"/>
  <c r="Q399" i="1"/>
  <c r="P399" i="1"/>
  <c r="N399" i="1"/>
  <c r="M399" i="1"/>
  <c r="O399" i="1" s="1"/>
  <c r="R398" i="1"/>
  <c r="Q398" i="1"/>
  <c r="P398" i="1"/>
  <c r="R397" i="1"/>
  <c r="Q397" i="1"/>
  <c r="P397" i="1"/>
  <c r="N397" i="1"/>
  <c r="M397" i="1"/>
  <c r="O397" i="1" s="1"/>
  <c r="R396" i="1"/>
  <c r="Q396" i="1"/>
  <c r="P396" i="1"/>
  <c r="N396" i="1"/>
  <c r="O396" i="1" s="1"/>
  <c r="M396" i="1"/>
  <c r="R395" i="1"/>
  <c r="Q395" i="1"/>
  <c r="P395" i="1"/>
  <c r="N395" i="1"/>
  <c r="M395" i="1"/>
  <c r="O395" i="1" s="1"/>
  <c r="R394" i="1"/>
  <c r="Q394" i="1"/>
  <c r="P394" i="1"/>
  <c r="N394" i="1"/>
  <c r="O394" i="1" s="1"/>
  <c r="M394" i="1"/>
  <c r="R393" i="1"/>
  <c r="Q393" i="1"/>
  <c r="P393" i="1"/>
  <c r="N393" i="1"/>
  <c r="M393" i="1"/>
  <c r="O393" i="1" s="1"/>
  <c r="R392" i="1"/>
  <c r="Q392" i="1"/>
  <c r="P392" i="1"/>
  <c r="N392" i="1"/>
  <c r="O392" i="1" s="1"/>
  <c r="M392" i="1"/>
  <c r="R391" i="1"/>
  <c r="Q391" i="1"/>
  <c r="P391" i="1"/>
  <c r="R390" i="1"/>
  <c r="Q390" i="1"/>
  <c r="P390" i="1"/>
  <c r="N390" i="1"/>
  <c r="M390" i="1"/>
  <c r="O390" i="1" s="1"/>
  <c r="R389" i="1"/>
  <c r="Q389" i="1"/>
  <c r="P389" i="1"/>
  <c r="O389" i="1"/>
  <c r="N389" i="1"/>
  <c r="M389" i="1"/>
  <c r="R388" i="1"/>
  <c r="Q388" i="1"/>
  <c r="P388" i="1"/>
  <c r="N388" i="1"/>
  <c r="M388" i="1"/>
  <c r="O388" i="1" s="1"/>
  <c r="R387" i="1"/>
  <c r="Q387" i="1"/>
  <c r="P387" i="1"/>
  <c r="O387" i="1"/>
  <c r="N387" i="1"/>
  <c r="M387" i="1"/>
  <c r="R386" i="1"/>
  <c r="Q386" i="1"/>
  <c r="P386" i="1"/>
  <c r="N386" i="1"/>
  <c r="M386" i="1"/>
  <c r="O386" i="1" s="1"/>
  <c r="R385" i="1"/>
  <c r="Q385" i="1"/>
  <c r="P385" i="1"/>
  <c r="O385" i="1"/>
  <c r="N385" i="1"/>
  <c r="M385" i="1"/>
  <c r="R384" i="1"/>
  <c r="Q384" i="1"/>
  <c r="P384" i="1"/>
  <c r="N384" i="1"/>
  <c r="M384" i="1"/>
  <c r="O384" i="1" s="1"/>
  <c r="R383" i="1"/>
  <c r="Q383" i="1"/>
  <c r="P383" i="1"/>
  <c r="R382" i="1"/>
  <c r="Q382" i="1"/>
  <c r="P382" i="1"/>
  <c r="N382" i="1"/>
  <c r="M382" i="1"/>
  <c r="O382" i="1" s="1"/>
  <c r="R381" i="1"/>
  <c r="Q381" i="1"/>
  <c r="P381" i="1"/>
  <c r="O381" i="1"/>
  <c r="N381" i="1"/>
  <c r="M381" i="1"/>
  <c r="R380" i="1"/>
  <c r="Q380" i="1"/>
  <c r="P380" i="1"/>
  <c r="R379" i="1"/>
  <c r="Q379" i="1"/>
  <c r="P379" i="1"/>
  <c r="N379" i="1"/>
  <c r="M379" i="1"/>
  <c r="O379" i="1" s="1"/>
  <c r="R378" i="1"/>
  <c r="Q378" i="1"/>
  <c r="P378" i="1"/>
  <c r="O378" i="1"/>
  <c r="N378" i="1"/>
  <c r="M378" i="1"/>
  <c r="I378" i="1"/>
  <c r="R377" i="1"/>
  <c r="Q377" i="1"/>
  <c r="P377" i="1"/>
  <c r="R376" i="1"/>
  <c r="Q376" i="1"/>
  <c r="P376" i="1"/>
  <c r="N376" i="1"/>
  <c r="M376" i="1"/>
  <c r="O376" i="1" s="1"/>
  <c r="R375" i="1"/>
  <c r="Q375" i="1"/>
  <c r="P375" i="1"/>
  <c r="O375" i="1"/>
  <c r="N375" i="1"/>
  <c r="M375" i="1"/>
  <c r="R374" i="1"/>
  <c r="Q374" i="1"/>
  <c r="P374" i="1"/>
  <c r="R373" i="1"/>
  <c r="Q373" i="1"/>
  <c r="P373" i="1"/>
  <c r="N373" i="1"/>
  <c r="M373" i="1"/>
  <c r="O373" i="1" s="1"/>
  <c r="R372" i="1"/>
  <c r="Q372" i="1"/>
  <c r="P372" i="1"/>
  <c r="N372" i="1"/>
  <c r="O372" i="1" s="1"/>
  <c r="M372" i="1"/>
  <c r="R371" i="1"/>
  <c r="Q371" i="1"/>
  <c r="P371" i="1"/>
  <c r="N371" i="1"/>
  <c r="M371" i="1"/>
  <c r="O371" i="1" s="1"/>
  <c r="R370" i="1"/>
  <c r="Q370" i="1"/>
  <c r="P370" i="1"/>
  <c r="R369" i="1"/>
  <c r="Q369" i="1"/>
  <c r="P369" i="1"/>
  <c r="N369" i="1"/>
  <c r="M369" i="1"/>
  <c r="O369" i="1" s="1"/>
  <c r="R368" i="1"/>
  <c r="Q368" i="1"/>
  <c r="P368" i="1"/>
  <c r="O368" i="1"/>
  <c r="N368" i="1"/>
  <c r="M368" i="1"/>
  <c r="R367" i="1"/>
  <c r="Q367" i="1"/>
  <c r="P367" i="1"/>
  <c r="N367" i="1"/>
  <c r="M367" i="1"/>
  <c r="O367" i="1" s="1"/>
  <c r="R366" i="1"/>
  <c r="Q366" i="1"/>
  <c r="P366" i="1"/>
  <c r="O366" i="1"/>
  <c r="N366" i="1"/>
  <c r="M366" i="1"/>
  <c r="R365" i="1"/>
  <c r="Q365" i="1"/>
  <c r="P365" i="1"/>
  <c r="R364" i="1"/>
  <c r="Q364" i="1"/>
  <c r="P364" i="1"/>
  <c r="N364" i="1"/>
  <c r="M364" i="1"/>
  <c r="O364" i="1" s="1"/>
  <c r="R363" i="1"/>
  <c r="Q363" i="1"/>
  <c r="P363" i="1"/>
  <c r="N363" i="1"/>
  <c r="O363" i="1" s="1"/>
  <c r="M363" i="1"/>
  <c r="R362" i="1"/>
  <c r="Q362" i="1"/>
  <c r="P362" i="1"/>
  <c r="N362" i="1"/>
  <c r="M362" i="1"/>
  <c r="O362" i="1" s="1"/>
  <c r="R361" i="1"/>
  <c r="Q361" i="1"/>
  <c r="P361" i="1"/>
  <c r="N361" i="1"/>
  <c r="O361" i="1" s="1"/>
  <c r="M361" i="1"/>
  <c r="R360" i="1"/>
  <c r="Q360" i="1"/>
  <c r="P360" i="1"/>
  <c r="N360" i="1"/>
  <c r="M360" i="1"/>
  <c r="O360" i="1" s="1"/>
  <c r="R359" i="1"/>
  <c r="Q359" i="1"/>
  <c r="P359" i="1"/>
  <c r="N359" i="1"/>
  <c r="O359" i="1" s="1"/>
  <c r="M359" i="1"/>
  <c r="R358" i="1"/>
  <c r="Q358" i="1"/>
  <c r="P358" i="1"/>
  <c r="N358" i="1"/>
  <c r="M358" i="1"/>
  <c r="O358" i="1" s="1"/>
  <c r="R357" i="1"/>
  <c r="Q357" i="1"/>
  <c r="P357" i="1"/>
  <c r="R356" i="1"/>
  <c r="Q356" i="1"/>
  <c r="P356" i="1"/>
  <c r="N356" i="1"/>
  <c r="M356" i="1"/>
  <c r="O356" i="1" s="1"/>
  <c r="R355" i="1"/>
  <c r="Q355" i="1"/>
  <c r="P355" i="1"/>
  <c r="N355" i="1"/>
  <c r="M355" i="1"/>
  <c r="R354" i="1"/>
  <c r="Q354" i="1"/>
  <c r="P354" i="1"/>
  <c r="N354" i="1"/>
  <c r="M354" i="1"/>
  <c r="O354" i="1" s="1"/>
  <c r="R353" i="1"/>
  <c r="Q353" i="1"/>
  <c r="P353" i="1"/>
  <c r="N353" i="1"/>
  <c r="O353" i="1" s="1"/>
  <c r="M353" i="1"/>
  <c r="R352" i="1"/>
  <c r="Q352" i="1"/>
  <c r="P352" i="1"/>
  <c r="N352" i="1"/>
  <c r="M352" i="1"/>
  <c r="O352" i="1" s="1"/>
  <c r="R351" i="1"/>
  <c r="Q351" i="1"/>
  <c r="P351" i="1"/>
  <c r="N351" i="1"/>
  <c r="O351" i="1" s="1"/>
  <c r="M351" i="1"/>
  <c r="R350" i="1"/>
  <c r="Q350" i="1"/>
  <c r="P350" i="1"/>
  <c r="N350" i="1"/>
  <c r="M350" i="1"/>
  <c r="O350" i="1" s="1"/>
  <c r="R349" i="1"/>
  <c r="Q349" i="1"/>
  <c r="P349" i="1"/>
  <c r="N349" i="1"/>
  <c r="O349" i="1" s="1"/>
  <c r="M349" i="1"/>
  <c r="R348" i="1"/>
  <c r="Q348" i="1"/>
  <c r="P348" i="1"/>
  <c r="N348" i="1"/>
  <c r="M348" i="1"/>
  <c r="O348" i="1" s="1"/>
  <c r="R347" i="1"/>
  <c r="Q347" i="1"/>
  <c r="P347" i="1"/>
  <c r="N347" i="1"/>
  <c r="M347" i="1"/>
  <c r="I347" i="1"/>
  <c r="O347" i="1" s="1"/>
  <c r="R346" i="1"/>
  <c r="Q346" i="1"/>
  <c r="P346" i="1"/>
  <c r="N346" i="1"/>
  <c r="M346" i="1"/>
  <c r="O346" i="1" s="1"/>
  <c r="R345" i="1"/>
  <c r="Q345" i="1"/>
  <c r="P345" i="1"/>
  <c r="O345" i="1"/>
  <c r="N345" i="1"/>
  <c r="M345" i="1"/>
  <c r="R344" i="1"/>
  <c r="Q344" i="1"/>
  <c r="P344" i="1"/>
  <c r="N344" i="1"/>
  <c r="M344" i="1"/>
  <c r="O344" i="1" s="1"/>
  <c r="R343" i="1"/>
  <c r="Q343" i="1"/>
  <c r="P343" i="1"/>
  <c r="O343" i="1"/>
  <c r="N343" i="1"/>
  <c r="M343" i="1"/>
  <c r="R342" i="1"/>
  <c r="Q342" i="1"/>
  <c r="P342" i="1"/>
  <c r="N342" i="1"/>
  <c r="M342" i="1"/>
  <c r="O342" i="1" s="1"/>
  <c r="R341" i="1"/>
  <c r="Q341" i="1"/>
  <c r="P341" i="1"/>
  <c r="R340" i="1"/>
  <c r="Q340" i="1"/>
  <c r="P340" i="1"/>
  <c r="N340" i="1"/>
  <c r="M340" i="1"/>
  <c r="O340" i="1" s="1"/>
  <c r="R339" i="1"/>
  <c r="P339" i="1"/>
  <c r="O339" i="1"/>
  <c r="N339" i="1"/>
  <c r="M339" i="1"/>
  <c r="R338" i="1"/>
  <c r="Q338" i="1"/>
  <c r="P338" i="1"/>
  <c r="N338" i="1"/>
  <c r="M338" i="1"/>
  <c r="O338" i="1" s="1"/>
  <c r="R337" i="1"/>
  <c r="Q337" i="1"/>
  <c r="P337" i="1"/>
  <c r="O337" i="1"/>
  <c r="N337" i="1"/>
  <c r="M337" i="1"/>
  <c r="R336" i="1"/>
  <c r="Q336" i="1"/>
  <c r="P336" i="1"/>
  <c r="N336" i="1"/>
  <c r="M336" i="1"/>
  <c r="O336" i="1" s="1"/>
  <c r="R335" i="1"/>
  <c r="Q335" i="1"/>
  <c r="P335" i="1"/>
  <c r="O335" i="1"/>
  <c r="N335" i="1"/>
  <c r="M335" i="1"/>
  <c r="R334" i="1"/>
  <c r="Q334" i="1"/>
  <c r="P334" i="1"/>
  <c r="R333" i="1"/>
  <c r="Q333" i="1"/>
  <c r="P333" i="1"/>
  <c r="N333" i="1"/>
  <c r="O333" i="1" s="1"/>
  <c r="M333" i="1"/>
  <c r="R332" i="1"/>
  <c r="Q332" i="1"/>
  <c r="P332" i="1"/>
  <c r="R331" i="1"/>
  <c r="Q331" i="1"/>
  <c r="P331" i="1"/>
  <c r="N331" i="1"/>
  <c r="M331" i="1"/>
  <c r="O331" i="1" s="1"/>
  <c r="R330" i="1"/>
  <c r="Q330" i="1"/>
  <c r="P330" i="1"/>
  <c r="O330" i="1"/>
  <c r="N330" i="1"/>
  <c r="M330" i="1"/>
  <c r="R329" i="1"/>
  <c r="Q329" i="1"/>
  <c r="P329" i="1"/>
  <c r="N329" i="1"/>
  <c r="M329" i="1"/>
  <c r="O329" i="1" s="1"/>
  <c r="R328" i="1"/>
  <c r="Q328" i="1"/>
  <c r="P328" i="1"/>
  <c r="O328" i="1"/>
  <c r="N328" i="1"/>
  <c r="M328" i="1"/>
  <c r="R327" i="1"/>
  <c r="Q327" i="1"/>
  <c r="P327" i="1"/>
  <c r="R326" i="1"/>
  <c r="Q326" i="1"/>
  <c r="P326" i="1"/>
  <c r="O326" i="1"/>
  <c r="N326" i="1"/>
  <c r="M326" i="1"/>
  <c r="R325" i="1"/>
  <c r="Q325" i="1"/>
  <c r="P325" i="1"/>
  <c r="N325" i="1"/>
  <c r="M325" i="1"/>
  <c r="O325" i="1" s="1"/>
  <c r="R324" i="1"/>
  <c r="Q324" i="1"/>
  <c r="P324" i="1"/>
  <c r="O324" i="1"/>
  <c r="N324" i="1"/>
  <c r="M324" i="1"/>
  <c r="R323" i="1"/>
  <c r="Q323" i="1"/>
  <c r="P323" i="1"/>
  <c r="R322" i="1"/>
  <c r="Q322" i="1"/>
  <c r="P322" i="1"/>
  <c r="N322" i="1"/>
  <c r="M322" i="1"/>
  <c r="O322" i="1" s="1"/>
  <c r="R321" i="1"/>
  <c r="Q321" i="1"/>
  <c r="P321" i="1"/>
  <c r="O321" i="1"/>
  <c r="N321" i="1"/>
  <c r="M321" i="1"/>
  <c r="R320" i="1"/>
  <c r="Q320" i="1"/>
  <c r="P320" i="1"/>
  <c r="N320" i="1"/>
  <c r="M320" i="1"/>
  <c r="O320" i="1" s="1"/>
  <c r="R319" i="1"/>
  <c r="Q319" i="1"/>
  <c r="P319" i="1"/>
  <c r="O319" i="1"/>
  <c r="N319" i="1"/>
  <c r="M319" i="1"/>
  <c r="R318" i="1"/>
  <c r="Q318" i="1"/>
  <c r="P318" i="1"/>
  <c r="N318" i="1"/>
  <c r="M318" i="1"/>
  <c r="O318" i="1" s="1"/>
  <c r="R317" i="1"/>
  <c r="Q317" i="1"/>
  <c r="P317" i="1"/>
  <c r="O317" i="1"/>
  <c r="N317" i="1"/>
  <c r="M317" i="1"/>
  <c r="R316" i="1"/>
  <c r="Q316" i="1"/>
  <c r="P316" i="1"/>
  <c r="R315" i="1"/>
  <c r="Q315" i="1"/>
  <c r="P315" i="1"/>
  <c r="N315" i="1"/>
  <c r="M315" i="1"/>
  <c r="O315" i="1" s="1"/>
  <c r="R314" i="1"/>
  <c r="Q314" i="1"/>
  <c r="P314" i="1"/>
  <c r="N314" i="1"/>
  <c r="O314" i="1" s="1"/>
  <c r="M314" i="1"/>
  <c r="R313" i="1"/>
  <c r="Q313" i="1"/>
  <c r="P313" i="1"/>
  <c r="N313" i="1"/>
  <c r="M313" i="1"/>
  <c r="O313" i="1" s="1"/>
  <c r="R312" i="1"/>
  <c r="Q312" i="1"/>
  <c r="P312" i="1"/>
  <c r="N312" i="1"/>
  <c r="O312" i="1" s="1"/>
  <c r="M312" i="1"/>
  <c r="R311" i="1"/>
  <c r="Q311" i="1"/>
  <c r="P311" i="1"/>
  <c r="N311" i="1"/>
  <c r="M311" i="1"/>
  <c r="O311" i="1" s="1"/>
  <c r="R310" i="1"/>
  <c r="Q310" i="1"/>
  <c r="P310" i="1"/>
  <c r="N310" i="1"/>
  <c r="O310" i="1" s="1"/>
  <c r="M310" i="1"/>
  <c r="R309" i="1"/>
  <c r="Q309" i="1"/>
  <c r="P309" i="1"/>
  <c r="R308" i="1"/>
  <c r="Q308" i="1"/>
  <c r="P308" i="1"/>
  <c r="O308" i="1"/>
  <c r="N308" i="1"/>
  <c r="M308" i="1"/>
  <c r="R307" i="1"/>
  <c r="Q307" i="1"/>
  <c r="P307" i="1"/>
  <c r="N307" i="1"/>
  <c r="M307" i="1"/>
  <c r="O307" i="1" s="1"/>
  <c r="R306" i="1"/>
  <c r="Q306" i="1"/>
  <c r="P306" i="1"/>
  <c r="O306" i="1"/>
  <c r="N306" i="1"/>
  <c r="M306" i="1"/>
  <c r="R305" i="1"/>
  <c r="Q305" i="1"/>
  <c r="P305" i="1"/>
  <c r="R304" i="1"/>
  <c r="Q304" i="1"/>
  <c r="P304" i="1"/>
  <c r="O304" i="1"/>
  <c r="N304" i="1"/>
  <c r="M304" i="1"/>
  <c r="R303" i="1"/>
  <c r="Q303" i="1"/>
  <c r="P303" i="1"/>
  <c r="N303" i="1"/>
  <c r="M303" i="1"/>
  <c r="O303" i="1" s="1"/>
  <c r="R302" i="1"/>
  <c r="Q302" i="1"/>
  <c r="P302" i="1"/>
  <c r="O302" i="1"/>
  <c r="N302" i="1"/>
  <c r="M302" i="1"/>
  <c r="R301" i="1"/>
  <c r="Q301" i="1"/>
  <c r="P301" i="1"/>
  <c r="N301" i="1"/>
  <c r="M301" i="1"/>
  <c r="O301" i="1" s="1"/>
  <c r="R300" i="1"/>
  <c r="Q300" i="1"/>
  <c r="P300" i="1"/>
  <c r="O300" i="1"/>
  <c r="N300" i="1"/>
  <c r="M300" i="1"/>
  <c r="R299" i="1"/>
  <c r="Q299" i="1"/>
  <c r="P299" i="1"/>
  <c r="N299" i="1"/>
  <c r="M299" i="1"/>
  <c r="O299" i="1" s="1"/>
  <c r="R298" i="1"/>
  <c r="Q298" i="1"/>
  <c r="P298" i="1"/>
  <c r="N298" i="1"/>
  <c r="O298" i="1" s="1"/>
  <c r="M298" i="1"/>
  <c r="R297" i="1"/>
  <c r="Q297" i="1"/>
  <c r="P297" i="1"/>
  <c r="N297" i="1"/>
  <c r="M297" i="1"/>
  <c r="O297" i="1" s="1"/>
  <c r="R296" i="1"/>
  <c r="Q296" i="1"/>
  <c r="P296" i="1"/>
  <c r="N296" i="1"/>
  <c r="O296" i="1" s="1"/>
  <c r="M296" i="1"/>
  <c r="R295" i="1"/>
  <c r="Q295" i="1"/>
  <c r="P295" i="1"/>
  <c r="N295" i="1"/>
  <c r="M295" i="1"/>
  <c r="O295" i="1" s="1"/>
  <c r="R294" i="1"/>
  <c r="Q294" i="1"/>
  <c r="P294" i="1"/>
  <c r="N294" i="1"/>
  <c r="O294" i="1" s="1"/>
  <c r="M294" i="1"/>
  <c r="R293" i="1"/>
  <c r="Q293" i="1"/>
  <c r="P293" i="1"/>
  <c r="N293" i="1"/>
  <c r="M293" i="1"/>
  <c r="O293" i="1" s="1"/>
  <c r="R292" i="1"/>
  <c r="Q292" i="1"/>
  <c r="P292" i="1"/>
  <c r="N292" i="1"/>
  <c r="O292" i="1" s="1"/>
  <c r="M292" i="1"/>
  <c r="R291" i="1"/>
  <c r="Q291" i="1"/>
  <c r="P291" i="1"/>
  <c r="N291" i="1"/>
  <c r="M291" i="1"/>
  <c r="O291" i="1" s="1"/>
  <c r="R290" i="1"/>
  <c r="Q290" i="1"/>
  <c r="P290" i="1"/>
  <c r="N290" i="1"/>
  <c r="O290" i="1" s="1"/>
  <c r="M290" i="1"/>
  <c r="R289" i="1"/>
  <c r="Q289" i="1"/>
  <c r="P289" i="1"/>
  <c r="N289" i="1"/>
  <c r="M289" i="1"/>
  <c r="O289" i="1" s="1"/>
  <c r="R288" i="1"/>
  <c r="Q288" i="1"/>
  <c r="P288" i="1"/>
  <c r="N288" i="1"/>
  <c r="O288" i="1" s="1"/>
  <c r="M288" i="1"/>
  <c r="R287" i="1"/>
  <c r="Q287" i="1"/>
  <c r="P287" i="1"/>
  <c r="R286" i="1"/>
  <c r="Q286" i="1"/>
  <c r="P286" i="1"/>
  <c r="N286" i="1"/>
  <c r="M286" i="1"/>
  <c r="O286" i="1" s="1"/>
  <c r="R285" i="1"/>
  <c r="Q285" i="1"/>
  <c r="P285" i="1"/>
  <c r="N285" i="1"/>
  <c r="M285" i="1"/>
  <c r="O285" i="1" s="1"/>
  <c r="R284" i="1"/>
  <c r="Q284" i="1"/>
  <c r="P284" i="1"/>
  <c r="N284" i="1"/>
  <c r="M284" i="1"/>
  <c r="O284" i="1" s="1"/>
  <c r="R283" i="1"/>
  <c r="Q283" i="1"/>
  <c r="P283" i="1"/>
  <c r="N283" i="1"/>
  <c r="M283" i="1"/>
  <c r="O283" i="1" s="1"/>
  <c r="R282" i="1"/>
  <c r="Q282" i="1"/>
  <c r="P282" i="1"/>
  <c r="N282" i="1"/>
  <c r="M282" i="1"/>
  <c r="O282" i="1" s="1"/>
  <c r="R281" i="1"/>
  <c r="Q281" i="1"/>
  <c r="P281" i="1"/>
  <c r="N281" i="1"/>
  <c r="M281" i="1"/>
  <c r="O281" i="1" s="1"/>
  <c r="R280" i="1"/>
  <c r="Q280" i="1"/>
  <c r="P280" i="1"/>
  <c r="N280" i="1"/>
  <c r="M280" i="1"/>
  <c r="O280" i="1" s="1"/>
  <c r="R279" i="1"/>
  <c r="Q279" i="1"/>
  <c r="P279" i="1"/>
  <c r="N279" i="1"/>
  <c r="M279" i="1"/>
  <c r="O279" i="1" s="1"/>
  <c r="R278" i="1"/>
  <c r="Q278" i="1"/>
  <c r="P278" i="1"/>
  <c r="N278" i="1"/>
  <c r="M278" i="1"/>
  <c r="O278" i="1" s="1"/>
  <c r="R277" i="1"/>
  <c r="Q277" i="1"/>
  <c r="P277" i="1"/>
  <c r="N277" i="1"/>
  <c r="M277" i="1"/>
  <c r="O277" i="1" s="1"/>
  <c r="R276" i="1"/>
  <c r="Q276" i="1"/>
  <c r="P276" i="1"/>
  <c r="N276" i="1"/>
  <c r="M276" i="1"/>
  <c r="O276" i="1" s="1"/>
  <c r="R275" i="1"/>
  <c r="Q275" i="1"/>
  <c r="P275" i="1"/>
  <c r="N275" i="1"/>
  <c r="M275" i="1"/>
  <c r="O275" i="1" s="1"/>
  <c r="R274" i="1"/>
  <c r="Q274" i="1"/>
  <c r="P274" i="1"/>
  <c r="N274" i="1"/>
  <c r="M274" i="1"/>
  <c r="O274" i="1" s="1"/>
  <c r="R273" i="1"/>
  <c r="Q273" i="1"/>
  <c r="P273" i="1"/>
  <c r="R272" i="1"/>
  <c r="Q272" i="1"/>
  <c r="P272" i="1"/>
  <c r="N272" i="1"/>
  <c r="M272" i="1"/>
  <c r="O272" i="1" s="1"/>
  <c r="R271" i="1"/>
  <c r="Q271" i="1"/>
  <c r="P271" i="1"/>
  <c r="O271" i="1"/>
  <c r="N271" i="1"/>
  <c r="M271" i="1"/>
  <c r="R270" i="1"/>
  <c r="Q270" i="1"/>
  <c r="P270" i="1"/>
  <c r="N270" i="1"/>
  <c r="M270" i="1"/>
  <c r="O270" i="1" s="1"/>
  <c r="R269" i="1"/>
  <c r="Q269" i="1"/>
  <c r="P269" i="1"/>
  <c r="N269" i="1"/>
  <c r="O269" i="1" s="1"/>
  <c r="M269" i="1"/>
  <c r="R268" i="1"/>
  <c r="Q268" i="1"/>
  <c r="P268" i="1"/>
  <c r="N268" i="1"/>
  <c r="M268" i="1"/>
  <c r="O268" i="1" s="1"/>
  <c r="R267" i="1"/>
  <c r="Q267" i="1"/>
  <c r="P267" i="1"/>
  <c r="N267" i="1"/>
  <c r="O267" i="1" s="1"/>
  <c r="M267" i="1"/>
  <c r="R266" i="1"/>
  <c r="Q266" i="1"/>
  <c r="P266" i="1"/>
  <c r="N266" i="1"/>
  <c r="M266" i="1"/>
  <c r="O266" i="1" s="1"/>
  <c r="R265" i="1"/>
  <c r="Q265" i="1"/>
  <c r="P265" i="1"/>
  <c r="N265" i="1"/>
  <c r="O265" i="1" s="1"/>
  <c r="M265" i="1"/>
  <c r="R264" i="1"/>
  <c r="Q264" i="1"/>
  <c r="P264" i="1"/>
  <c r="N264" i="1"/>
  <c r="M264" i="1"/>
  <c r="O264" i="1" s="1"/>
  <c r="R263" i="1"/>
  <c r="Q263" i="1"/>
  <c r="P263" i="1"/>
  <c r="R262" i="1"/>
  <c r="Q262" i="1"/>
  <c r="P262" i="1"/>
  <c r="O262" i="1"/>
  <c r="N262" i="1"/>
  <c r="M262" i="1"/>
  <c r="R261" i="1"/>
  <c r="Q261" i="1"/>
  <c r="P261" i="1"/>
  <c r="N261" i="1"/>
  <c r="M261" i="1"/>
  <c r="O261" i="1" s="1"/>
  <c r="R260" i="1"/>
  <c r="Q260" i="1"/>
  <c r="P260" i="1"/>
  <c r="N260" i="1"/>
  <c r="O260" i="1" s="1"/>
  <c r="M260" i="1"/>
  <c r="R259" i="1"/>
  <c r="Q259" i="1"/>
  <c r="P259" i="1"/>
  <c r="N259" i="1"/>
  <c r="M259" i="1"/>
  <c r="O259" i="1" s="1"/>
  <c r="R258" i="1"/>
  <c r="Q258" i="1"/>
  <c r="P258" i="1"/>
  <c r="N258" i="1"/>
  <c r="O258" i="1" s="1"/>
  <c r="M258" i="1"/>
  <c r="R257" i="1"/>
  <c r="Q257" i="1"/>
  <c r="P257" i="1"/>
  <c r="N257" i="1"/>
  <c r="M257" i="1"/>
  <c r="O257" i="1" s="1"/>
  <c r="R256" i="1"/>
  <c r="Q256" i="1"/>
  <c r="P256" i="1"/>
  <c r="N256" i="1"/>
  <c r="O256" i="1" s="1"/>
  <c r="M256" i="1"/>
  <c r="R255" i="1"/>
  <c r="Q255" i="1"/>
  <c r="P255" i="1"/>
  <c r="N255" i="1"/>
  <c r="M255" i="1"/>
  <c r="O255" i="1" s="1"/>
  <c r="R254" i="1"/>
  <c r="Q254" i="1"/>
  <c r="P254" i="1"/>
  <c r="R253" i="1"/>
  <c r="Q253" i="1"/>
  <c r="P253" i="1"/>
  <c r="N253" i="1"/>
  <c r="M253" i="1"/>
  <c r="O253" i="1" s="1"/>
  <c r="R252" i="1"/>
  <c r="Q252" i="1"/>
  <c r="P252" i="1"/>
  <c r="R251" i="1"/>
  <c r="Q251" i="1"/>
  <c r="P251" i="1"/>
  <c r="N251" i="1"/>
  <c r="O251" i="1" s="1"/>
  <c r="M251" i="1"/>
  <c r="R250" i="1"/>
  <c r="Q250" i="1"/>
  <c r="P250" i="1"/>
  <c r="N250" i="1"/>
  <c r="M250" i="1"/>
  <c r="O250" i="1" s="1"/>
  <c r="R249" i="1"/>
  <c r="Q249" i="1"/>
  <c r="P249" i="1"/>
  <c r="N249" i="1"/>
  <c r="O249" i="1" s="1"/>
  <c r="M249" i="1"/>
  <c r="R248" i="1"/>
  <c r="Q248" i="1"/>
  <c r="P248" i="1"/>
  <c r="N248" i="1"/>
  <c r="M248" i="1"/>
  <c r="O248" i="1" s="1"/>
  <c r="R247" i="1"/>
  <c r="Q247" i="1"/>
  <c r="P247" i="1"/>
  <c r="N247" i="1"/>
  <c r="O247" i="1" s="1"/>
  <c r="M247" i="1"/>
  <c r="R246" i="1"/>
  <c r="Q246" i="1"/>
  <c r="P246" i="1"/>
  <c r="N246" i="1"/>
  <c r="M246" i="1"/>
  <c r="O246" i="1" s="1"/>
  <c r="R245" i="1"/>
  <c r="Q245" i="1"/>
  <c r="P245" i="1"/>
  <c r="N245" i="1"/>
  <c r="O245" i="1" s="1"/>
  <c r="M245" i="1"/>
  <c r="R244" i="1"/>
  <c r="Q244" i="1"/>
  <c r="P244" i="1"/>
  <c r="N244" i="1"/>
  <c r="M244" i="1"/>
  <c r="O244" i="1" s="1"/>
  <c r="R243" i="1"/>
  <c r="Q243" i="1"/>
  <c r="P243" i="1"/>
  <c r="N243" i="1"/>
  <c r="O243" i="1" s="1"/>
  <c r="M243" i="1"/>
  <c r="R242" i="1"/>
  <c r="Q242" i="1"/>
  <c r="P242" i="1"/>
  <c r="R241" i="1"/>
  <c r="Q241" i="1"/>
  <c r="P241" i="1"/>
  <c r="O241" i="1"/>
  <c r="N241" i="1"/>
  <c r="M241" i="1"/>
  <c r="R240" i="1"/>
  <c r="Q240" i="1"/>
  <c r="P240" i="1"/>
  <c r="N240" i="1"/>
  <c r="M240" i="1"/>
  <c r="O240" i="1" s="1"/>
  <c r="R239" i="1"/>
  <c r="Q239" i="1"/>
  <c r="P239" i="1"/>
  <c r="O239" i="1"/>
  <c r="N239" i="1"/>
  <c r="M239" i="1"/>
  <c r="R238" i="1"/>
  <c r="Q238" i="1"/>
  <c r="P238" i="1"/>
  <c r="N238" i="1"/>
  <c r="M238" i="1"/>
  <c r="O238" i="1" s="1"/>
  <c r="R237" i="1"/>
  <c r="Q237" i="1"/>
  <c r="P237" i="1"/>
  <c r="O237" i="1"/>
  <c r="N237" i="1"/>
  <c r="M237" i="1"/>
  <c r="R236" i="1"/>
  <c r="Q236" i="1"/>
  <c r="P236" i="1"/>
  <c r="N236" i="1"/>
  <c r="M236" i="1"/>
  <c r="O236" i="1" s="1"/>
  <c r="R235" i="1"/>
  <c r="Q235" i="1"/>
  <c r="P235" i="1"/>
  <c r="O235" i="1"/>
  <c r="N235" i="1"/>
  <c r="M235" i="1"/>
  <c r="R234" i="1"/>
  <c r="Q234" i="1"/>
  <c r="P234" i="1"/>
  <c r="N234" i="1"/>
  <c r="M234" i="1"/>
  <c r="O234" i="1" s="1"/>
  <c r="R233" i="1"/>
  <c r="Q233" i="1"/>
  <c r="P233" i="1"/>
  <c r="O233" i="1"/>
  <c r="N233" i="1"/>
  <c r="M233" i="1"/>
  <c r="R232" i="1"/>
  <c r="Q232" i="1"/>
  <c r="P232" i="1"/>
  <c r="N232" i="1"/>
  <c r="M232" i="1"/>
  <c r="O232" i="1" s="1"/>
  <c r="R231" i="1"/>
  <c r="Q231" i="1"/>
  <c r="P231" i="1"/>
  <c r="O231" i="1"/>
  <c r="N231" i="1"/>
  <c r="M231" i="1"/>
  <c r="R230" i="1"/>
  <c r="Q230" i="1"/>
  <c r="P230" i="1"/>
  <c r="N230" i="1"/>
  <c r="M230" i="1"/>
  <c r="O230" i="1" s="1"/>
  <c r="R229" i="1"/>
  <c r="Q229" i="1"/>
  <c r="P229" i="1"/>
  <c r="O229" i="1"/>
  <c r="N229" i="1"/>
  <c r="M229" i="1"/>
  <c r="R228" i="1"/>
  <c r="Q228" i="1"/>
  <c r="P228" i="1"/>
  <c r="N228" i="1"/>
  <c r="M228" i="1"/>
  <c r="O228" i="1" s="1"/>
  <c r="R227" i="1"/>
  <c r="Q227" i="1"/>
  <c r="P227" i="1"/>
  <c r="O227" i="1"/>
  <c r="N227" i="1"/>
  <c r="M227" i="1"/>
  <c r="R226" i="1"/>
  <c r="Q226" i="1"/>
  <c r="P226" i="1"/>
  <c r="N226" i="1"/>
  <c r="M226" i="1"/>
  <c r="O226" i="1" s="1"/>
  <c r="R225" i="1"/>
  <c r="Q225" i="1"/>
  <c r="P225" i="1"/>
  <c r="N225" i="1"/>
  <c r="O225" i="1" s="1"/>
  <c r="M225" i="1"/>
  <c r="R224" i="1"/>
  <c r="Q224" i="1"/>
  <c r="P224" i="1"/>
  <c r="R223" i="1"/>
  <c r="Q223" i="1"/>
  <c r="P223" i="1"/>
  <c r="N223" i="1"/>
  <c r="M223" i="1"/>
  <c r="O223" i="1" s="1"/>
  <c r="R222" i="1"/>
  <c r="Q222" i="1"/>
  <c r="P222" i="1"/>
  <c r="N222" i="1"/>
  <c r="M222" i="1"/>
  <c r="O222" i="1" s="1"/>
  <c r="R221" i="1"/>
  <c r="Q221" i="1"/>
  <c r="P221" i="1"/>
  <c r="N221" i="1"/>
  <c r="M221" i="1"/>
  <c r="O221" i="1" s="1"/>
  <c r="R220" i="1"/>
  <c r="Q220" i="1"/>
  <c r="P220" i="1"/>
  <c r="N220" i="1"/>
  <c r="M220" i="1"/>
  <c r="O220" i="1" s="1"/>
  <c r="R219" i="1"/>
  <c r="Q219" i="1"/>
  <c r="P219" i="1"/>
  <c r="N219" i="1"/>
  <c r="M219" i="1"/>
  <c r="O219" i="1" s="1"/>
  <c r="R218" i="1"/>
  <c r="Q218" i="1"/>
  <c r="P218" i="1"/>
  <c r="N218" i="1"/>
  <c r="M218" i="1"/>
  <c r="O218" i="1" s="1"/>
  <c r="R217" i="1"/>
  <c r="Q217" i="1"/>
  <c r="P217" i="1"/>
  <c r="N217" i="1"/>
  <c r="M217" i="1"/>
  <c r="O217" i="1" s="1"/>
  <c r="R216" i="1"/>
  <c r="Q216" i="1"/>
  <c r="P216" i="1"/>
  <c r="N216" i="1"/>
  <c r="M216" i="1"/>
  <c r="O216" i="1" s="1"/>
  <c r="R215" i="1"/>
  <c r="Q215" i="1"/>
  <c r="P215" i="1"/>
  <c r="N215" i="1"/>
  <c r="M215" i="1"/>
  <c r="O215" i="1" s="1"/>
  <c r="R214" i="1"/>
  <c r="Q214" i="1"/>
  <c r="P214" i="1"/>
  <c r="N214" i="1"/>
  <c r="M214" i="1"/>
  <c r="O214" i="1" s="1"/>
  <c r="R213" i="1"/>
  <c r="Q213" i="1"/>
  <c r="P213" i="1"/>
  <c r="N213" i="1"/>
  <c r="M213" i="1"/>
  <c r="O213" i="1" s="1"/>
  <c r="R212" i="1"/>
  <c r="Q212" i="1"/>
  <c r="P212" i="1"/>
  <c r="N212" i="1"/>
  <c r="M212" i="1"/>
  <c r="O212" i="1" s="1"/>
  <c r="R211" i="1"/>
  <c r="Q211" i="1"/>
  <c r="P211" i="1"/>
  <c r="N211" i="1"/>
  <c r="M211" i="1"/>
  <c r="O211" i="1" s="1"/>
  <c r="R210" i="1"/>
  <c r="Q210" i="1"/>
  <c r="P210" i="1"/>
  <c r="N210" i="1"/>
  <c r="M210" i="1"/>
  <c r="O210" i="1" s="1"/>
  <c r="R209" i="1"/>
  <c r="Q209" i="1"/>
  <c r="P209" i="1"/>
  <c r="N209" i="1"/>
  <c r="M209" i="1"/>
  <c r="O209" i="1" s="1"/>
  <c r="R208" i="1"/>
  <c r="Q208" i="1"/>
  <c r="P208" i="1"/>
  <c r="N208" i="1"/>
  <c r="M208" i="1"/>
  <c r="O208" i="1" s="1"/>
  <c r="R207" i="1"/>
  <c r="Q207" i="1"/>
  <c r="P207" i="1"/>
  <c r="N207" i="1"/>
  <c r="M207" i="1"/>
  <c r="O207" i="1" s="1"/>
  <c r="R206" i="1"/>
  <c r="Q206" i="1"/>
  <c r="P206" i="1"/>
  <c r="R205" i="1"/>
  <c r="Q205" i="1"/>
  <c r="P205" i="1"/>
  <c r="N205" i="1"/>
  <c r="M205" i="1"/>
  <c r="O205" i="1" s="1"/>
  <c r="R204" i="1"/>
  <c r="Q204" i="1"/>
  <c r="P204" i="1"/>
  <c r="O204" i="1"/>
  <c r="N204" i="1"/>
  <c r="M204" i="1"/>
  <c r="R203" i="1"/>
  <c r="Q203" i="1"/>
  <c r="P203" i="1"/>
  <c r="N203" i="1"/>
  <c r="M203" i="1"/>
  <c r="O203" i="1" s="1"/>
  <c r="R202" i="1"/>
  <c r="Q202" i="1"/>
  <c r="P202" i="1"/>
  <c r="O202" i="1"/>
  <c r="N202" i="1"/>
  <c r="M202" i="1"/>
  <c r="R201" i="1"/>
  <c r="Q201" i="1"/>
  <c r="P201" i="1"/>
  <c r="N201" i="1"/>
  <c r="M201" i="1"/>
  <c r="O201" i="1" s="1"/>
  <c r="R200" i="1"/>
  <c r="Q200" i="1"/>
  <c r="P200" i="1"/>
  <c r="O200" i="1"/>
  <c r="N200" i="1"/>
  <c r="M200" i="1"/>
  <c r="R199" i="1"/>
  <c r="Q199" i="1"/>
  <c r="P199" i="1"/>
  <c r="N199" i="1"/>
  <c r="M199" i="1"/>
  <c r="O199" i="1" s="1"/>
  <c r="R198" i="1"/>
  <c r="Q198" i="1"/>
  <c r="P198" i="1"/>
  <c r="O198" i="1"/>
  <c r="N198" i="1"/>
  <c r="M198" i="1"/>
  <c r="R197" i="1"/>
  <c r="Q197" i="1"/>
  <c r="P197" i="1"/>
  <c r="N197" i="1"/>
  <c r="M197" i="1"/>
  <c r="O197" i="1" s="1"/>
  <c r="R196" i="1"/>
  <c r="Q196" i="1"/>
  <c r="P196" i="1"/>
  <c r="O196" i="1"/>
  <c r="N196" i="1"/>
  <c r="M196" i="1"/>
  <c r="R195" i="1"/>
  <c r="Q195" i="1"/>
  <c r="P195" i="1"/>
  <c r="N195" i="1"/>
  <c r="M195" i="1"/>
  <c r="O195" i="1" s="1"/>
  <c r="R194" i="1"/>
  <c r="Q194" i="1"/>
  <c r="P194" i="1"/>
  <c r="N194" i="1"/>
  <c r="O194" i="1" s="1"/>
  <c r="M194" i="1"/>
  <c r="R193" i="1"/>
  <c r="Q193" i="1"/>
  <c r="P193" i="1"/>
  <c r="N193" i="1"/>
  <c r="M193" i="1"/>
  <c r="O193" i="1" s="1"/>
  <c r="R192" i="1"/>
  <c r="Q192" i="1"/>
  <c r="P192" i="1"/>
  <c r="N192" i="1"/>
  <c r="O192" i="1" s="1"/>
  <c r="M192" i="1"/>
  <c r="R191" i="1"/>
  <c r="Q191" i="1"/>
  <c r="P191" i="1"/>
  <c r="N191" i="1"/>
  <c r="M191" i="1"/>
  <c r="O191" i="1" s="1"/>
  <c r="R190" i="1"/>
  <c r="Q190" i="1"/>
  <c r="P190" i="1"/>
  <c r="N190" i="1"/>
  <c r="O190" i="1" s="1"/>
  <c r="M190" i="1"/>
  <c r="R189" i="1"/>
  <c r="Q189" i="1"/>
  <c r="P189" i="1"/>
  <c r="N189" i="1"/>
  <c r="M189" i="1"/>
  <c r="O189" i="1" s="1"/>
  <c r="R188" i="1"/>
  <c r="Q188" i="1"/>
  <c r="P188" i="1"/>
  <c r="R187" i="1"/>
  <c r="Q187" i="1"/>
  <c r="P187" i="1"/>
  <c r="N187" i="1"/>
  <c r="O187" i="1" s="1"/>
  <c r="M187" i="1"/>
  <c r="R186" i="1"/>
  <c r="Q186" i="1"/>
  <c r="P186" i="1"/>
  <c r="N186" i="1"/>
  <c r="M186" i="1"/>
  <c r="O186" i="1" s="1"/>
  <c r="R185" i="1"/>
  <c r="Q185" i="1"/>
  <c r="P185" i="1"/>
  <c r="N185" i="1"/>
  <c r="M185" i="1"/>
  <c r="O185" i="1" s="1"/>
  <c r="R184" i="1"/>
  <c r="Q184" i="1"/>
  <c r="P184" i="1"/>
  <c r="N184" i="1"/>
  <c r="M184" i="1"/>
  <c r="O184" i="1" s="1"/>
  <c r="R183" i="1"/>
  <c r="Q183" i="1"/>
  <c r="P183" i="1"/>
  <c r="N183" i="1"/>
  <c r="M183" i="1"/>
  <c r="O183" i="1" s="1"/>
  <c r="R182" i="1"/>
  <c r="Q182" i="1"/>
  <c r="P182" i="1"/>
  <c r="N182" i="1"/>
  <c r="M182" i="1"/>
  <c r="O182" i="1" s="1"/>
  <c r="R181" i="1"/>
  <c r="Q181" i="1"/>
  <c r="P181" i="1"/>
  <c r="N181" i="1"/>
  <c r="M181" i="1"/>
  <c r="O181" i="1" s="1"/>
  <c r="R180" i="1"/>
  <c r="Q180" i="1"/>
  <c r="P180" i="1"/>
  <c r="N180" i="1"/>
  <c r="M180" i="1"/>
  <c r="O180" i="1" s="1"/>
  <c r="R179" i="1"/>
  <c r="Q179" i="1"/>
  <c r="P179" i="1"/>
  <c r="N179" i="1"/>
  <c r="M179" i="1"/>
  <c r="O179" i="1" s="1"/>
  <c r="R178" i="1"/>
  <c r="Q178" i="1"/>
  <c r="P178" i="1"/>
  <c r="N178" i="1"/>
  <c r="M178" i="1"/>
  <c r="O178" i="1" s="1"/>
  <c r="R177" i="1"/>
  <c r="Q177" i="1"/>
  <c r="P177" i="1"/>
  <c r="N177" i="1"/>
  <c r="M177" i="1"/>
  <c r="O177" i="1" s="1"/>
  <c r="K177" i="1"/>
  <c r="R176" i="1"/>
  <c r="Q176" i="1"/>
  <c r="P176" i="1"/>
  <c r="N176" i="1"/>
  <c r="M176" i="1"/>
  <c r="O176" i="1" s="1"/>
  <c r="R175" i="1"/>
  <c r="Q175" i="1"/>
  <c r="P175" i="1"/>
  <c r="O175" i="1"/>
  <c r="N175" i="1"/>
  <c r="M175" i="1"/>
  <c r="R174" i="1"/>
  <c r="Q174" i="1"/>
  <c r="P174" i="1"/>
  <c r="N174" i="1"/>
  <c r="M174" i="1"/>
  <c r="O174" i="1" s="1"/>
  <c r="R173" i="1"/>
  <c r="Q173" i="1"/>
  <c r="P173" i="1"/>
  <c r="O173" i="1"/>
  <c r="N173" i="1"/>
  <c r="M173" i="1"/>
  <c r="R172" i="1"/>
  <c r="Q172" i="1"/>
  <c r="P172" i="1"/>
  <c r="N172" i="1"/>
  <c r="M172" i="1"/>
  <c r="O172" i="1" s="1"/>
  <c r="R171" i="1"/>
  <c r="Q171" i="1"/>
  <c r="P171" i="1"/>
  <c r="O171" i="1"/>
  <c r="N171" i="1"/>
  <c r="M171" i="1"/>
  <c r="R170" i="1"/>
  <c r="Q170" i="1"/>
  <c r="P170" i="1"/>
  <c r="N170" i="1"/>
  <c r="M170" i="1"/>
  <c r="O170" i="1" s="1"/>
  <c r="R169" i="1"/>
  <c r="Q169" i="1"/>
  <c r="P169" i="1"/>
  <c r="O169" i="1"/>
  <c r="N169" i="1"/>
  <c r="M169" i="1"/>
  <c r="R168" i="1"/>
  <c r="Q168" i="1"/>
  <c r="P168" i="1"/>
  <c r="N168" i="1"/>
  <c r="M168" i="1"/>
  <c r="O168" i="1" s="1"/>
  <c r="R167" i="1"/>
  <c r="Q167" i="1"/>
  <c r="P167" i="1"/>
  <c r="O167" i="1"/>
  <c r="N167" i="1"/>
  <c r="M167" i="1"/>
  <c r="R166" i="1"/>
  <c r="Q166" i="1"/>
  <c r="P166" i="1"/>
  <c r="N166" i="1"/>
  <c r="M166" i="1"/>
  <c r="O166" i="1" s="1"/>
  <c r="R165" i="1"/>
  <c r="Q165" i="1"/>
  <c r="P165" i="1"/>
  <c r="N165" i="1"/>
  <c r="O165" i="1" s="1"/>
  <c r="M165" i="1"/>
  <c r="R164" i="1"/>
  <c r="Q164" i="1"/>
  <c r="P164" i="1"/>
  <c r="R163" i="1"/>
  <c r="Q163" i="1"/>
  <c r="P163" i="1"/>
  <c r="O163" i="1"/>
  <c r="N163" i="1"/>
  <c r="M163" i="1"/>
  <c r="R162" i="1"/>
  <c r="Q162" i="1"/>
  <c r="P162" i="1"/>
  <c r="N162" i="1"/>
  <c r="M162" i="1"/>
  <c r="O162" i="1" s="1"/>
  <c r="R161" i="1"/>
  <c r="Q161" i="1"/>
  <c r="P161" i="1"/>
  <c r="O161" i="1"/>
  <c r="N161" i="1"/>
  <c r="M161" i="1"/>
  <c r="R160" i="1"/>
  <c r="Q160" i="1"/>
  <c r="P160" i="1"/>
  <c r="N160" i="1"/>
  <c r="M160" i="1"/>
  <c r="O160" i="1" s="1"/>
  <c r="R159" i="1"/>
  <c r="Q159" i="1"/>
  <c r="P159" i="1"/>
  <c r="O159" i="1"/>
  <c r="N159" i="1"/>
  <c r="M159" i="1"/>
  <c r="R158" i="1"/>
  <c r="Q158" i="1"/>
  <c r="P158" i="1"/>
  <c r="O158" i="1"/>
  <c r="R157" i="1"/>
  <c r="Q157" i="1"/>
  <c r="P157" i="1"/>
  <c r="N157" i="1"/>
  <c r="M157" i="1"/>
  <c r="O157" i="1" s="1"/>
  <c r="R156" i="1"/>
  <c r="Q156" i="1"/>
  <c r="P156" i="1"/>
  <c r="O156" i="1"/>
  <c r="N156" i="1"/>
  <c r="M156" i="1"/>
  <c r="R155" i="1"/>
  <c r="Q155" i="1"/>
  <c r="P155" i="1"/>
  <c r="N155" i="1"/>
  <c r="M155" i="1"/>
  <c r="O155" i="1" s="1"/>
  <c r="R154" i="1"/>
  <c r="Q154" i="1"/>
  <c r="P154" i="1"/>
  <c r="O154" i="1"/>
  <c r="N154" i="1"/>
  <c r="M154" i="1"/>
  <c r="R153" i="1"/>
  <c r="Q153" i="1"/>
  <c r="P153" i="1"/>
  <c r="N153" i="1"/>
  <c r="M153" i="1"/>
  <c r="O153" i="1" s="1"/>
  <c r="R152" i="1"/>
  <c r="Q152" i="1"/>
  <c r="P152" i="1"/>
  <c r="O152" i="1"/>
  <c r="N152" i="1"/>
  <c r="M152" i="1"/>
  <c r="R151" i="1"/>
  <c r="Q151" i="1"/>
  <c r="P151" i="1"/>
  <c r="N151" i="1"/>
  <c r="M151" i="1"/>
  <c r="O151" i="1" s="1"/>
  <c r="R150" i="1"/>
  <c r="Q150" i="1"/>
  <c r="P150" i="1"/>
  <c r="O150" i="1"/>
  <c r="R149" i="1"/>
  <c r="Q149" i="1"/>
  <c r="P149" i="1"/>
  <c r="O149" i="1"/>
  <c r="N149" i="1"/>
  <c r="M149" i="1"/>
  <c r="R148" i="1"/>
  <c r="Q148" i="1"/>
  <c r="P148" i="1"/>
  <c r="N148" i="1"/>
  <c r="M148" i="1"/>
  <c r="O148" i="1" s="1"/>
  <c r="R147" i="1"/>
  <c r="Q147" i="1"/>
  <c r="P147" i="1"/>
  <c r="O147" i="1"/>
  <c r="N147" i="1"/>
  <c r="M147" i="1"/>
  <c r="R146" i="1"/>
  <c r="Q146" i="1"/>
  <c r="P146" i="1"/>
  <c r="N146" i="1"/>
  <c r="M146" i="1"/>
  <c r="O146" i="1" s="1"/>
  <c r="R145" i="1"/>
  <c r="Q145" i="1"/>
  <c r="P145" i="1"/>
  <c r="O145" i="1"/>
  <c r="N145" i="1"/>
  <c r="M145" i="1"/>
  <c r="R144" i="1"/>
  <c r="Q144" i="1"/>
  <c r="P144" i="1"/>
  <c r="N144" i="1"/>
  <c r="M144" i="1"/>
  <c r="O144" i="1" s="1"/>
  <c r="R143" i="1"/>
  <c r="Q143" i="1"/>
  <c r="P143" i="1"/>
  <c r="O143" i="1"/>
  <c r="N143" i="1"/>
  <c r="M143" i="1"/>
  <c r="R142" i="1"/>
  <c r="Q142" i="1"/>
  <c r="P142" i="1"/>
  <c r="N142" i="1"/>
  <c r="M142" i="1"/>
  <c r="O142" i="1" s="1"/>
  <c r="R141" i="1"/>
  <c r="Q141" i="1"/>
  <c r="P141" i="1"/>
  <c r="O141" i="1"/>
  <c r="N141" i="1"/>
  <c r="M141" i="1"/>
  <c r="R140" i="1"/>
  <c r="Q140" i="1"/>
  <c r="P140" i="1"/>
  <c r="N140" i="1"/>
  <c r="M140" i="1"/>
  <c r="O140" i="1" s="1"/>
  <c r="R139" i="1"/>
  <c r="Q139" i="1"/>
  <c r="P139" i="1"/>
  <c r="O139" i="1"/>
  <c r="N139" i="1"/>
  <c r="M139" i="1"/>
  <c r="R138" i="1"/>
  <c r="Q138" i="1"/>
  <c r="P138" i="1"/>
  <c r="N138" i="1"/>
  <c r="M138" i="1"/>
  <c r="O138" i="1" s="1"/>
  <c r="R137" i="1"/>
  <c r="Q137" i="1"/>
  <c r="P137" i="1"/>
  <c r="R136" i="1"/>
  <c r="Q136" i="1"/>
  <c r="P136" i="1"/>
  <c r="O136" i="1"/>
  <c r="N136" i="1"/>
  <c r="M136" i="1"/>
  <c r="R135" i="1"/>
  <c r="Q135" i="1"/>
  <c r="P135" i="1"/>
  <c r="N135" i="1"/>
  <c r="M135" i="1"/>
  <c r="O135" i="1" s="1"/>
  <c r="R134" i="1"/>
  <c r="Q134" i="1"/>
  <c r="P134" i="1"/>
  <c r="O134" i="1"/>
  <c r="N134" i="1"/>
  <c r="M134" i="1"/>
  <c r="R133" i="1"/>
  <c r="Q133" i="1"/>
  <c r="P133" i="1"/>
  <c r="N133" i="1"/>
  <c r="M133" i="1"/>
  <c r="O133" i="1" s="1"/>
  <c r="R132" i="1"/>
  <c r="Q132" i="1"/>
  <c r="P132" i="1"/>
  <c r="O132" i="1"/>
  <c r="N132" i="1"/>
  <c r="M132" i="1"/>
  <c r="R131" i="1"/>
  <c r="Q131" i="1"/>
  <c r="P131" i="1"/>
  <c r="N131" i="1"/>
  <c r="M131" i="1"/>
  <c r="O131" i="1" s="1"/>
  <c r="R130" i="1"/>
  <c r="Q130" i="1"/>
  <c r="P130" i="1"/>
  <c r="O130" i="1"/>
  <c r="N130" i="1"/>
  <c r="M130" i="1"/>
  <c r="R129" i="1"/>
  <c r="Q129" i="1"/>
  <c r="P129" i="1"/>
  <c r="N129" i="1"/>
  <c r="M129" i="1"/>
  <c r="O129" i="1" s="1"/>
  <c r="R128" i="1"/>
  <c r="Q128" i="1"/>
  <c r="P128" i="1"/>
  <c r="O128" i="1"/>
  <c r="N128" i="1"/>
  <c r="M128" i="1"/>
  <c r="R127" i="1"/>
  <c r="Q127" i="1"/>
  <c r="P127" i="1"/>
  <c r="N127" i="1"/>
  <c r="M127" i="1"/>
  <c r="O127" i="1" s="1"/>
  <c r="R126" i="1"/>
  <c r="Q126" i="1"/>
  <c r="P126" i="1"/>
  <c r="R125" i="1"/>
  <c r="Q125" i="1"/>
  <c r="P125" i="1"/>
  <c r="N125" i="1"/>
  <c r="M125" i="1"/>
  <c r="O125" i="1" s="1"/>
  <c r="R124" i="1"/>
  <c r="Q124" i="1"/>
  <c r="P124" i="1"/>
  <c r="O124" i="1"/>
  <c r="N124" i="1"/>
  <c r="M124" i="1"/>
  <c r="R123" i="1"/>
  <c r="Q123" i="1"/>
  <c r="P123" i="1"/>
  <c r="N123" i="1"/>
  <c r="M123" i="1"/>
  <c r="O123" i="1" s="1"/>
  <c r="R122" i="1"/>
  <c r="Q122" i="1"/>
  <c r="P122" i="1"/>
  <c r="O122" i="1"/>
  <c r="N122" i="1"/>
  <c r="M122" i="1"/>
  <c r="R121" i="1"/>
  <c r="Q121" i="1"/>
  <c r="P121" i="1"/>
  <c r="R120" i="1"/>
  <c r="Q120" i="1"/>
  <c r="P120" i="1"/>
  <c r="N120" i="1"/>
  <c r="M120" i="1"/>
  <c r="O120" i="1" s="1"/>
  <c r="R119" i="1"/>
  <c r="Q119" i="1"/>
  <c r="P119" i="1"/>
  <c r="O119" i="1"/>
  <c r="N119" i="1"/>
  <c r="M119" i="1"/>
  <c r="R118" i="1"/>
  <c r="Q118" i="1"/>
  <c r="P118" i="1"/>
  <c r="N118" i="1"/>
  <c r="M118" i="1"/>
  <c r="O118" i="1" s="1"/>
  <c r="R117" i="1"/>
  <c r="Q117" i="1"/>
  <c r="P117" i="1"/>
  <c r="R116" i="1"/>
  <c r="Q116" i="1"/>
  <c r="P116" i="1"/>
  <c r="N116" i="1"/>
  <c r="O116" i="1" s="1"/>
  <c r="M116" i="1"/>
  <c r="R115" i="1"/>
  <c r="Q115" i="1"/>
  <c r="P115" i="1"/>
  <c r="R114" i="1"/>
  <c r="Q114" i="1"/>
  <c r="P114" i="1"/>
  <c r="O114" i="1"/>
  <c r="N114" i="1"/>
  <c r="M114" i="1"/>
  <c r="R113" i="1"/>
  <c r="Q113" i="1"/>
  <c r="P113" i="1"/>
  <c r="N113" i="1"/>
  <c r="M113" i="1"/>
  <c r="O113" i="1" s="1"/>
  <c r="R112" i="1"/>
  <c r="Q112" i="1"/>
  <c r="P112" i="1"/>
  <c r="O112" i="1"/>
  <c r="N112" i="1"/>
  <c r="M112" i="1"/>
  <c r="R111" i="1"/>
  <c r="Q111" i="1"/>
  <c r="P111" i="1"/>
  <c r="N111" i="1"/>
  <c r="M111" i="1"/>
  <c r="O111" i="1" s="1"/>
  <c r="R110" i="1"/>
  <c r="Q110" i="1"/>
  <c r="P110" i="1"/>
  <c r="O110" i="1"/>
  <c r="N110" i="1"/>
  <c r="M110" i="1"/>
  <c r="R109" i="1"/>
  <c r="Q109" i="1"/>
  <c r="P109" i="1"/>
  <c r="N109" i="1"/>
  <c r="M109" i="1"/>
  <c r="O109" i="1" s="1"/>
  <c r="R108" i="1"/>
  <c r="Q108" i="1"/>
  <c r="P108" i="1"/>
  <c r="O108" i="1"/>
  <c r="N108" i="1"/>
  <c r="M108" i="1"/>
  <c r="R107" i="1"/>
  <c r="Q107" i="1"/>
  <c r="P107" i="1"/>
  <c r="N107" i="1"/>
  <c r="M107" i="1"/>
  <c r="O107" i="1" s="1"/>
  <c r="R106" i="1"/>
  <c r="Q106" i="1"/>
  <c r="P106" i="1"/>
  <c r="O106" i="1"/>
  <c r="N106" i="1"/>
  <c r="M106" i="1"/>
  <c r="R105" i="1"/>
  <c r="Q105" i="1"/>
  <c r="P105" i="1"/>
  <c r="N105" i="1"/>
  <c r="M105" i="1"/>
  <c r="O105" i="1" s="1"/>
  <c r="R104" i="1"/>
  <c r="Q104" i="1"/>
  <c r="P104" i="1"/>
  <c r="N104" i="1"/>
  <c r="O104" i="1" s="1"/>
  <c r="M104" i="1"/>
  <c r="R103" i="1"/>
  <c r="Q103" i="1"/>
  <c r="P103" i="1"/>
  <c r="N103" i="1"/>
  <c r="M103" i="1"/>
  <c r="O103" i="1" s="1"/>
  <c r="R102" i="1"/>
  <c r="Q102" i="1"/>
  <c r="P102" i="1"/>
  <c r="O102" i="1"/>
  <c r="N102" i="1"/>
  <c r="M102" i="1"/>
  <c r="R101" i="1"/>
  <c r="Q101" i="1"/>
  <c r="P101" i="1"/>
  <c r="N101" i="1"/>
  <c r="M101" i="1"/>
  <c r="R100" i="1"/>
  <c r="Q100" i="1"/>
  <c r="P100" i="1"/>
  <c r="N100" i="1"/>
  <c r="M100" i="1"/>
  <c r="O100" i="1" s="1"/>
  <c r="R99" i="1"/>
  <c r="Q99" i="1"/>
  <c r="P99" i="1"/>
  <c r="N99" i="1"/>
  <c r="M99" i="1"/>
  <c r="O99" i="1" s="1"/>
  <c r="R98" i="1"/>
  <c r="Q98" i="1"/>
  <c r="P98" i="1"/>
  <c r="N98" i="1"/>
  <c r="M98" i="1"/>
  <c r="O98" i="1" s="1"/>
  <c r="R97" i="1"/>
  <c r="Q97" i="1"/>
  <c r="P97" i="1"/>
  <c r="N97" i="1"/>
  <c r="M97" i="1"/>
  <c r="O97" i="1" s="1"/>
  <c r="R96" i="1"/>
  <c r="Q96" i="1"/>
  <c r="P96" i="1"/>
  <c r="N96" i="1"/>
  <c r="M96" i="1"/>
  <c r="O96" i="1" s="1"/>
  <c r="R95" i="1"/>
  <c r="Q95" i="1"/>
  <c r="P95" i="1"/>
  <c r="N95" i="1"/>
  <c r="M95" i="1"/>
  <c r="O95" i="1" s="1"/>
  <c r="R94" i="1"/>
  <c r="Q94" i="1"/>
  <c r="P94" i="1"/>
  <c r="N94" i="1"/>
  <c r="M94" i="1"/>
  <c r="O94" i="1" s="1"/>
  <c r="R93" i="1"/>
  <c r="Q93" i="1"/>
  <c r="P93" i="1"/>
  <c r="N93" i="1"/>
  <c r="M93" i="1"/>
  <c r="O93" i="1" s="1"/>
  <c r="R92" i="1"/>
  <c r="Q92" i="1"/>
  <c r="P92" i="1"/>
  <c r="N92" i="1"/>
  <c r="M92" i="1"/>
  <c r="O92" i="1" s="1"/>
  <c r="R91" i="1"/>
  <c r="Q91" i="1"/>
  <c r="P91" i="1"/>
  <c r="N91" i="1"/>
  <c r="M91" i="1"/>
  <c r="O91" i="1" s="1"/>
  <c r="R90" i="1"/>
  <c r="Q90" i="1"/>
  <c r="P90" i="1"/>
  <c r="N90" i="1"/>
  <c r="M90" i="1"/>
  <c r="O90" i="1" s="1"/>
  <c r="R89" i="1"/>
  <c r="Q89" i="1"/>
  <c r="P89" i="1"/>
  <c r="N89" i="1"/>
  <c r="M89" i="1"/>
  <c r="O89" i="1" s="1"/>
  <c r="R88" i="1"/>
  <c r="Q88" i="1"/>
  <c r="P88" i="1"/>
  <c r="N88" i="1"/>
  <c r="M88" i="1"/>
  <c r="O88" i="1" s="1"/>
  <c r="R87" i="1"/>
  <c r="Q87" i="1"/>
  <c r="P87" i="1"/>
  <c r="N87" i="1"/>
  <c r="M87" i="1"/>
  <c r="O87" i="1" s="1"/>
  <c r="R86" i="1"/>
  <c r="Q86" i="1"/>
  <c r="P86" i="1"/>
  <c r="N86" i="1"/>
  <c r="M86" i="1"/>
  <c r="O86" i="1" s="1"/>
  <c r="R85" i="1"/>
  <c r="Q85" i="1"/>
  <c r="P85" i="1"/>
  <c r="R84" i="1"/>
  <c r="Q84" i="1"/>
  <c r="P84" i="1"/>
  <c r="N84" i="1"/>
  <c r="M84" i="1"/>
  <c r="O84" i="1" s="1"/>
  <c r="R83" i="1"/>
  <c r="Q83" i="1"/>
  <c r="P83" i="1"/>
  <c r="O83" i="1"/>
  <c r="N83" i="1"/>
  <c r="M83" i="1"/>
  <c r="R82" i="1"/>
  <c r="Q82" i="1"/>
  <c r="P82" i="1"/>
  <c r="N82" i="1"/>
  <c r="M82" i="1"/>
  <c r="O82" i="1" s="1"/>
  <c r="R81" i="1"/>
  <c r="Q81" i="1"/>
  <c r="P81" i="1"/>
  <c r="O81" i="1"/>
  <c r="N81" i="1"/>
  <c r="M81" i="1"/>
  <c r="R80" i="1"/>
  <c r="Q80" i="1"/>
  <c r="P80" i="1"/>
  <c r="N80" i="1"/>
  <c r="M80" i="1"/>
  <c r="O80" i="1" s="1"/>
  <c r="R79" i="1"/>
  <c r="Q79" i="1"/>
  <c r="P79" i="1"/>
  <c r="O79" i="1"/>
  <c r="N79" i="1"/>
  <c r="M79" i="1"/>
  <c r="R78" i="1"/>
  <c r="Q78" i="1"/>
  <c r="P78" i="1"/>
  <c r="N78" i="1"/>
  <c r="M78" i="1"/>
  <c r="O78" i="1" s="1"/>
  <c r="R77" i="1"/>
  <c r="Q77" i="1"/>
  <c r="P77" i="1"/>
  <c r="O77" i="1"/>
  <c r="N77" i="1"/>
  <c r="M77" i="1"/>
  <c r="R76" i="1"/>
  <c r="Q76" i="1"/>
  <c r="P76" i="1"/>
  <c r="N76" i="1"/>
  <c r="M76" i="1"/>
  <c r="O76" i="1" s="1"/>
  <c r="R75" i="1"/>
  <c r="Q75" i="1"/>
  <c r="P75" i="1"/>
  <c r="O75" i="1"/>
  <c r="N75" i="1"/>
  <c r="M75" i="1"/>
  <c r="R74" i="1"/>
  <c r="Q74" i="1"/>
  <c r="P74" i="1"/>
  <c r="R73" i="1"/>
  <c r="Q73" i="1"/>
  <c r="P73" i="1"/>
  <c r="N73" i="1"/>
  <c r="O73" i="1" s="1"/>
  <c r="M73" i="1"/>
  <c r="R72" i="1"/>
  <c r="Q72" i="1"/>
  <c r="P72" i="1"/>
  <c r="N72" i="1"/>
  <c r="M72" i="1"/>
  <c r="O72" i="1" s="1"/>
  <c r="R71" i="1"/>
  <c r="Q71" i="1"/>
  <c r="P71" i="1"/>
  <c r="N71" i="1"/>
  <c r="O71" i="1" s="1"/>
  <c r="M71" i="1"/>
  <c r="R70" i="1"/>
  <c r="Q70" i="1"/>
  <c r="P70" i="1"/>
  <c r="R69" i="1"/>
  <c r="Q69" i="1"/>
  <c r="P69" i="1"/>
  <c r="N69" i="1"/>
  <c r="M69" i="1"/>
  <c r="O69" i="1" s="1"/>
  <c r="R68" i="1"/>
  <c r="Q68" i="1"/>
  <c r="P68" i="1"/>
  <c r="O68" i="1"/>
  <c r="N68" i="1"/>
  <c r="M68" i="1"/>
  <c r="R67" i="1"/>
  <c r="Q67" i="1"/>
  <c r="P67" i="1"/>
  <c r="N67" i="1"/>
  <c r="M67" i="1"/>
  <c r="O67" i="1" s="1"/>
  <c r="R66" i="1"/>
  <c r="Q66" i="1"/>
  <c r="P66" i="1"/>
  <c r="O66" i="1"/>
  <c r="N66" i="1"/>
  <c r="M66" i="1"/>
  <c r="R65" i="1"/>
  <c r="Q65" i="1"/>
  <c r="P65" i="1"/>
  <c r="N65" i="1"/>
  <c r="M65" i="1"/>
  <c r="O65" i="1" s="1"/>
  <c r="R64" i="1"/>
  <c r="Q64" i="1"/>
  <c r="P64" i="1"/>
  <c r="O64" i="1"/>
  <c r="N64" i="1"/>
  <c r="M64" i="1"/>
  <c r="R63" i="1"/>
  <c r="Q63" i="1"/>
  <c r="P63" i="1"/>
  <c r="R62" i="1"/>
  <c r="Q62" i="1"/>
  <c r="P62" i="1"/>
  <c r="N62" i="1"/>
  <c r="O62" i="1" s="1"/>
  <c r="M62" i="1"/>
  <c r="R61" i="1"/>
  <c r="Q61" i="1"/>
  <c r="P61" i="1"/>
  <c r="N61" i="1"/>
  <c r="M61" i="1"/>
  <c r="O61" i="1" s="1"/>
  <c r="R60" i="1"/>
  <c r="Q60" i="1"/>
  <c r="P60" i="1"/>
  <c r="N60" i="1"/>
  <c r="O60" i="1" s="1"/>
  <c r="M60" i="1"/>
  <c r="R59" i="1"/>
  <c r="Q59" i="1"/>
  <c r="P59" i="1"/>
  <c r="N59" i="1"/>
  <c r="M59" i="1"/>
  <c r="O59" i="1" s="1"/>
  <c r="R58" i="1"/>
  <c r="Q58" i="1"/>
  <c r="P58" i="1"/>
  <c r="N58" i="1"/>
  <c r="O58" i="1" s="1"/>
  <c r="M58" i="1"/>
  <c r="R57" i="1"/>
  <c r="Q57" i="1"/>
  <c r="P57" i="1"/>
  <c r="N57" i="1"/>
  <c r="M57" i="1"/>
  <c r="O57" i="1" s="1"/>
  <c r="R56" i="1"/>
  <c r="Q56" i="1"/>
  <c r="P56" i="1"/>
  <c r="N56" i="1"/>
  <c r="O56" i="1" s="1"/>
  <c r="M56" i="1"/>
  <c r="R55" i="1"/>
  <c r="Q55" i="1"/>
  <c r="P55" i="1"/>
  <c r="N55" i="1"/>
  <c r="M55" i="1"/>
  <c r="O55" i="1" s="1"/>
  <c r="R54" i="1"/>
  <c r="Q54" i="1"/>
  <c r="P54" i="1"/>
  <c r="N54" i="1"/>
  <c r="O54" i="1" s="1"/>
  <c r="M54" i="1"/>
  <c r="R53" i="1"/>
  <c r="Q53" i="1"/>
  <c r="P53" i="1"/>
  <c r="R52" i="1"/>
  <c r="Q52" i="1"/>
  <c r="P52" i="1"/>
  <c r="N52" i="1"/>
  <c r="M52" i="1"/>
  <c r="O52" i="1" s="1"/>
  <c r="R51" i="1"/>
  <c r="Q51" i="1"/>
  <c r="P51" i="1"/>
  <c r="R50" i="1"/>
  <c r="Q50" i="1"/>
  <c r="P50" i="1"/>
  <c r="N50" i="1"/>
  <c r="O50" i="1" s="1"/>
  <c r="M50" i="1"/>
  <c r="R49" i="1"/>
  <c r="Q49" i="1"/>
  <c r="P49" i="1"/>
  <c r="N49" i="1"/>
  <c r="M49" i="1"/>
  <c r="O49" i="1" s="1"/>
  <c r="R48" i="1"/>
  <c r="Q48" i="1"/>
  <c r="P48" i="1"/>
  <c r="R47" i="1"/>
  <c r="Q47" i="1"/>
  <c r="P47" i="1"/>
  <c r="N47" i="1"/>
  <c r="M47" i="1"/>
  <c r="O47" i="1" s="1"/>
  <c r="R46" i="1"/>
  <c r="Q46" i="1"/>
  <c r="P46" i="1"/>
  <c r="O46" i="1"/>
  <c r="N46" i="1"/>
  <c r="M46" i="1"/>
  <c r="R45" i="1"/>
  <c r="Q45" i="1"/>
  <c r="P45" i="1"/>
  <c r="N45" i="1"/>
  <c r="M45" i="1"/>
  <c r="O45" i="1" s="1"/>
  <c r="R44" i="1"/>
  <c r="Q44" i="1"/>
  <c r="P44" i="1"/>
  <c r="O44" i="1"/>
  <c r="N44" i="1"/>
  <c r="M44" i="1"/>
  <c r="R43" i="1"/>
  <c r="Q43" i="1"/>
  <c r="P43" i="1"/>
  <c r="N43" i="1"/>
  <c r="M43" i="1"/>
  <c r="O43" i="1" s="1"/>
  <c r="R42" i="1"/>
  <c r="Q42" i="1"/>
  <c r="P42" i="1"/>
  <c r="O42" i="1"/>
  <c r="N42" i="1"/>
  <c r="M42" i="1"/>
  <c r="R41" i="1"/>
  <c r="Q41" i="1"/>
  <c r="P41" i="1"/>
  <c r="N41" i="1"/>
  <c r="M41" i="1"/>
  <c r="O41" i="1" s="1"/>
  <c r="R40" i="1"/>
  <c r="Q40" i="1"/>
  <c r="P40" i="1"/>
  <c r="O40" i="1"/>
  <c r="N40" i="1"/>
  <c r="M40" i="1"/>
  <c r="R39" i="1"/>
  <c r="Q39" i="1"/>
  <c r="P39" i="1"/>
  <c r="N39" i="1"/>
  <c r="M39" i="1"/>
  <c r="O39" i="1" s="1"/>
  <c r="R38" i="1"/>
  <c r="Q38" i="1"/>
  <c r="P38" i="1"/>
  <c r="O38" i="1"/>
  <c r="N38" i="1"/>
  <c r="M38" i="1"/>
  <c r="R37" i="1"/>
  <c r="Q37" i="1"/>
  <c r="P37" i="1"/>
  <c r="N37" i="1"/>
  <c r="M37" i="1"/>
  <c r="O37" i="1" s="1"/>
  <c r="R36" i="1"/>
  <c r="Q36" i="1"/>
  <c r="P36" i="1"/>
  <c r="O36" i="1"/>
  <c r="N36" i="1"/>
  <c r="M36" i="1"/>
  <c r="R35" i="1"/>
  <c r="Q35" i="1"/>
  <c r="P35" i="1"/>
  <c r="N35" i="1"/>
  <c r="M35" i="1"/>
  <c r="O35" i="1" s="1"/>
  <c r="R34" i="1"/>
  <c r="Q34" i="1"/>
  <c r="P34" i="1"/>
  <c r="O34" i="1"/>
  <c r="N34" i="1"/>
  <c r="M34" i="1"/>
  <c r="R33" i="1"/>
  <c r="Q33" i="1"/>
  <c r="P33" i="1"/>
  <c r="N33" i="1"/>
  <c r="M33" i="1"/>
  <c r="O33" i="1" s="1"/>
  <c r="R32" i="1"/>
  <c r="Q32" i="1"/>
  <c r="P32" i="1"/>
  <c r="O32" i="1"/>
  <c r="N32" i="1"/>
  <c r="M32" i="1"/>
  <c r="R31" i="1"/>
  <c r="Q31" i="1"/>
  <c r="P31" i="1"/>
  <c r="R30" i="1"/>
  <c r="Q30" i="1"/>
  <c r="P30" i="1"/>
  <c r="O30" i="1"/>
  <c r="N30" i="1"/>
  <c r="M30" i="1"/>
  <c r="R29" i="1"/>
  <c r="Q29" i="1"/>
  <c r="P29" i="1"/>
  <c r="N29" i="1"/>
  <c r="M29" i="1"/>
  <c r="O29" i="1" s="1"/>
  <c r="R28" i="1"/>
  <c r="Q28" i="1"/>
  <c r="P28" i="1"/>
  <c r="O28" i="1"/>
  <c r="N28" i="1"/>
  <c r="M28" i="1"/>
  <c r="R27" i="1"/>
  <c r="Q27" i="1"/>
  <c r="P27" i="1"/>
  <c r="N27" i="1"/>
  <c r="M27" i="1"/>
  <c r="O27" i="1" s="1"/>
  <c r="R26" i="1"/>
  <c r="Q26" i="1"/>
  <c r="P26" i="1"/>
  <c r="R25" i="1"/>
  <c r="Q25" i="1"/>
  <c r="P25" i="1"/>
  <c r="O25" i="1"/>
  <c r="N25" i="1"/>
  <c r="M25" i="1"/>
  <c r="R24" i="1"/>
  <c r="Q24" i="1"/>
  <c r="P24" i="1"/>
  <c r="N24" i="1"/>
  <c r="M24" i="1"/>
  <c r="R23" i="1"/>
  <c r="Q23" i="1"/>
  <c r="P23" i="1"/>
  <c r="N23" i="1"/>
  <c r="M23" i="1"/>
  <c r="O23" i="1" s="1"/>
  <c r="R22" i="1"/>
  <c r="Q22" i="1"/>
  <c r="P22" i="1"/>
  <c r="O22" i="1"/>
  <c r="N22" i="1"/>
  <c r="M22" i="1"/>
  <c r="R21" i="1"/>
  <c r="Q21" i="1"/>
  <c r="P21" i="1"/>
  <c r="N21" i="1"/>
  <c r="M21" i="1"/>
  <c r="O21" i="1" s="1"/>
  <c r="R20" i="1"/>
  <c r="Q20" i="1"/>
  <c r="P20" i="1"/>
  <c r="O20" i="1"/>
  <c r="N20" i="1"/>
  <c r="M20" i="1"/>
  <c r="R19" i="1"/>
  <c r="Q19" i="1"/>
  <c r="P19" i="1"/>
  <c r="R18" i="1"/>
  <c r="Q18" i="1"/>
  <c r="P18" i="1"/>
  <c r="N18" i="1"/>
  <c r="M18" i="1"/>
  <c r="O18" i="1" s="1"/>
  <c r="R17" i="1"/>
  <c r="Q17" i="1"/>
  <c r="P17" i="1"/>
  <c r="O17" i="1"/>
  <c r="N17" i="1"/>
  <c r="M17" i="1"/>
  <c r="R16" i="1"/>
  <c r="Q16" i="1"/>
  <c r="P16" i="1"/>
  <c r="R15" i="1"/>
  <c r="Q15" i="1"/>
  <c r="P15" i="1"/>
  <c r="N15" i="1"/>
  <c r="M15" i="1"/>
  <c r="I15" i="1"/>
  <c r="O15" i="1" s="1"/>
  <c r="R14" i="1"/>
  <c r="Q14" i="1"/>
  <c r="P14" i="1"/>
  <c r="O11" i="1"/>
  <c r="O101" i="1" l="1"/>
</calcChain>
</file>

<file path=xl/comments1.xml><?xml version="1.0" encoding="utf-8"?>
<comments xmlns="http://schemas.openxmlformats.org/spreadsheetml/2006/main">
  <authors>
    <author>usuario</author>
  </authors>
  <commentList>
    <comment ref="I24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tengo 1600 aparatdo de apure que no estan sumando 
</t>
        </r>
      </text>
    </comment>
    <comment ref="I163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LLEGARON 62</t>
        </r>
      </text>
    </comment>
    <comment ref="I333" authorId="0" shapeId="0">
      <text>
        <r>
          <rPr>
            <b/>
            <sz val="9"/>
            <color indexed="81"/>
            <rFont val="Tahoma"/>
            <family val="2"/>
          </rPr>
          <t>TENIA 4043, JOEL CONTO 3800</t>
        </r>
      </text>
    </comment>
    <comment ref="I335" authorId="0" shapeId="0">
      <text>
        <r>
          <rPr>
            <b/>
            <sz val="9"/>
            <color indexed="81"/>
            <rFont val="Tahoma"/>
            <family val="2"/>
          </rPr>
          <t>9216 JOEL CONTO 8836</t>
        </r>
      </text>
    </comment>
    <comment ref="I336" authorId="0" shapeId="0">
      <text>
        <r>
          <rPr>
            <b/>
            <sz val="9"/>
            <color indexed="81"/>
            <rFont val="Tahoma"/>
            <family val="2"/>
          </rPr>
          <t>3471 JOEL CONTO 3966</t>
        </r>
      </text>
    </comment>
    <comment ref="I343" authorId="0" shapeId="0">
      <text>
        <r>
          <rPr>
            <b/>
            <sz val="9"/>
            <color indexed="81"/>
            <rFont val="Tahoma"/>
            <family val="2"/>
          </rPr>
          <t>HABIAN 690 JOEL CONTO 685</t>
        </r>
      </text>
    </comment>
    <comment ref="I36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LLEGARON 525 11 JUNIO</t>
        </r>
      </text>
    </comment>
    <comment ref="I392" authorId="0" shapeId="0">
      <text>
        <r>
          <rPr>
            <b/>
            <sz val="9"/>
            <color indexed="81"/>
            <rFont val="Tahoma"/>
            <family val="2"/>
          </rPr>
          <t>4303 JOEL CONTO 4295</t>
        </r>
      </text>
    </comment>
    <comment ref="I394" authorId="0" shapeId="0">
      <text>
        <r>
          <rPr>
            <b/>
            <sz val="9"/>
            <color indexed="81"/>
            <rFont val="Tahoma"/>
            <family val="2"/>
          </rPr>
          <t>684 joel conto 624</t>
        </r>
      </text>
    </comment>
    <comment ref="I395" authorId="0" shapeId="0">
      <text>
        <r>
          <rPr>
            <b/>
            <sz val="9"/>
            <color indexed="81"/>
            <rFont val="Tahoma"/>
            <family val="2"/>
          </rPr>
          <t>1249 JOEL CONTO 3770</t>
        </r>
      </text>
    </comment>
  </commentList>
</comments>
</file>

<file path=xl/sharedStrings.xml><?xml version="1.0" encoding="utf-8"?>
<sst xmlns="http://schemas.openxmlformats.org/spreadsheetml/2006/main" count="2395" uniqueCount="1342">
  <si>
    <t>ACTUALIZACION:</t>
  </si>
  <si>
    <t>ITEM</t>
  </si>
  <si>
    <t>BASE</t>
  </si>
  <si>
    <t>LIN</t>
  </si>
  <si>
    <t>MAT</t>
  </si>
  <si>
    <t>FORMA</t>
  </si>
  <si>
    <t>CORRE</t>
  </si>
  <si>
    <t>CODIGO</t>
  </si>
  <si>
    <t>DESCRIPCION DE PRODUCTO</t>
  </si>
  <si>
    <t>DISP</t>
  </si>
  <si>
    <t>UND</t>
  </si>
  <si>
    <t>PRECIO DETAL USD</t>
  </si>
  <si>
    <t>PRECIO MAYOR USD</t>
  </si>
  <si>
    <t>SALIDA</t>
  </si>
  <si>
    <t>ENTRADA</t>
  </si>
  <si>
    <t>STOCK</t>
  </si>
  <si>
    <t>NUEVO PRECIO</t>
  </si>
  <si>
    <t>COSTO</t>
  </si>
  <si>
    <t>VALOR INVENTARIO</t>
  </si>
  <si>
    <t>CEMENTO</t>
  </si>
  <si>
    <t>*</t>
  </si>
  <si>
    <t>LINEA</t>
  </si>
  <si>
    <t>LAMINA</t>
  </si>
  <si>
    <t>1.1</t>
  </si>
  <si>
    <t xml:space="preserve">CEMENTO </t>
  </si>
  <si>
    <t>CEM</t>
  </si>
  <si>
    <t>CEM1045001</t>
  </si>
  <si>
    <t>CEMENTO GRIS ENSACADO</t>
  </si>
  <si>
    <t>Saco</t>
  </si>
  <si>
    <t>2.1</t>
  </si>
  <si>
    <t>ALAMBRE GALVANIZADO</t>
  </si>
  <si>
    <t>ALA</t>
  </si>
  <si>
    <t>ALA0403001</t>
  </si>
  <si>
    <t>ALAMBRE GALVANIZADO CALIBRE 18</t>
  </si>
  <si>
    <t>Rollo</t>
  </si>
  <si>
    <t>2.2</t>
  </si>
  <si>
    <t>ALA0403002</t>
  </si>
  <si>
    <t>ALAMBRE GALVANIZADO CALIBRE 18 DE SEGUNDA</t>
  </si>
  <si>
    <t>Kg</t>
  </si>
  <si>
    <t>ALAMBRON</t>
  </si>
  <si>
    <t>3.1</t>
  </si>
  <si>
    <t>ALB0141004</t>
  </si>
  <si>
    <t xml:space="preserve">ALAMBRON 4,5 mm X 6 mts </t>
  </si>
  <si>
    <t>Und</t>
  </si>
  <si>
    <t>3.2</t>
  </si>
  <si>
    <t>ALB</t>
  </si>
  <si>
    <t>ALB0141003</t>
  </si>
  <si>
    <t xml:space="preserve">ALAMBRON 5,0 mm X 6 mts </t>
  </si>
  <si>
    <t>3.3</t>
  </si>
  <si>
    <t>ALB0141005</t>
  </si>
  <si>
    <t>ALAMBRON 5,2 mm X 6 mts</t>
  </si>
  <si>
    <t>3.6</t>
  </si>
  <si>
    <t>ALB0141006</t>
  </si>
  <si>
    <t>ALAMBRON 6,0 mm X 6 mts</t>
  </si>
  <si>
    <t>3.4</t>
  </si>
  <si>
    <t xml:space="preserve">ALAMBRON ESTRIADO </t>
  </si>
  <si>
    <t>ALB0141001</t>
  </si>
  <si>
    <t xml:space="preserve">ALAMBRON 7,0 mm X 6 mts </t>
  </si>
  <si>
    <t>ABILLA</t>
  </si>
  <si>
    <t>3.5</t>
  </si>
  <si>
    <t>ALB0141002</t>
  </si>
  <si>
    <t xml:space="preserve">ALAMBRON 9,0 mm X 6 mts </t>
  </si>
  <si>
    <t>BARRAS</t>
  </si>
  <si>
    <t>4.1</t>
  </si>
  <si>
    <t xml:space="preserve">BARRA CUADRADA LISA </t>
  </si>
  <si>
    <t>BAR</t>
  </si>
  <si>
    <t>BAR0101001</t>
  </si>
  <si>
    <t xml:space="preserve">BARRA CUADRADA LISA 12mm X 6,00 mts </t>
  </si>
  <si>
    <t>4.2</t>
  </si>
  <si>
    <t xml:space="preserve">BARRA REDONDA LISA </t>
  </si>
  <si>
    <t>BAR0103001</t>
  </si>
  <si>
    <t xml:space="preserve">BARRA REDONDA LISA 10mm X 6,00 mts </t>
  </si>
  <si>
    <t>4.3</t>
  </si>
  <si>
    <t>BAR0103002</t>
  </si>
  <si>
    <t xml:space="preserve">BARRA REDONDA LISA 12mm X 6,00 mts </t>
  </si>
  <si>
    <t>4.4</t>
  </si>
  <si>
    <t>BAR0103003</t>
  </si>
  <si>
    <t xml:space="preserve">BARRA REDONDA LISA 16 mm X 6,00 mts </t>
  </si>
  <si>
    <t>CABILLAS</t>
  </si>
  <si>
    <t>5.1</t>
  </si>
  <si>
    <t>CAB0114004</t>
  </si>
  <si>
    <t>CABILLA ESTRIADA  3/8 X 12,00 mts SIDETUR</t>
  </si>
  <si>
    <t>5.2</t>
  </si>
  <si>
    <t>CAB0114008</t>
  </si>
  <si>
    <t>CABILLA ESTRIADA  3/8 X 5,50 mts SIDETUR</t>
  </si>
  <si>
    <t>5.3</t>
  </si>
  <si>
    <t>CAB0114005</t>
  </si>
  <si>
    <t>CABILLA ESTRIADA  3/8 X 6,00 mts SIDETUR</t>
  </si>
  <si>
    <t>5.4</t>
  </si>
  <si>
    <t>CABILLAS  ESTRIADAS S-60</t>
  </si>
  <si>
    <t>CAB</t>
  </si>
  <si>
    <t>CAB0114002</t>
  </si>
  <si>
    <t>CABILLA ESTRIADA  3/8 X 9,00 mts  IMPORTADA</t>
  </si>
  <si>
    <t>5.5</t>
  </si>
  <si>
    <t>CAB0114006</t>
  </si>
  <si>
    <t>CABILLA ESTRIADA 1/2 X 12,00 mts  SIDETUR</t>
  </si>
  <si>
    <t>5.6</t>
  </si>
  <si>
    <t>CAB0114010</t>
  </si>
  <si>
    <t>CABILLA ESTRIADA 1/2 X 12,00 mts  SIDOR</t>
  </si>
  <si>
    <t>5.7</t>
  </si>
  <si>
    <t>CAB0114007</t>
  </si>
  <si>
    <t>CABILLA ESTRIADA 1/2 X 6,00 mts  SIDETUR</t>
  </si>
  <si>
    <t>5.8</t>
  </si>
  <si>
    <t>CAB0114011</t>
  </si>
  <si>
    <t>CABILLA ESTRIADA 1/2 X 6,00 mts  SIDOR</t>
  </si>
  <si>
    <t>5.9</t>
  </si>
  <si>
    <t>CAB0114003</t>
  </si>
  <si>
    <t>CABILLA ESTRIADA 1/2 X 9,00 mts  IMPORTADA</t>
  </si>
  <si>
    <t>5.10</t>
  </si>
  <si>
    <t>CAB0114009</t>
  </si>
  <si>
    <t>CABILLA ESTRIADA 5/8 X 12,00 mts SIDETUR</t>
  </si>
  <si>
    <t>5.11</t>
  </si>
  <si>
    <t>CAB0114016</t>
  </si>
  <si>
    <t>CABILLA ESTRIADA 5/8 X 6,00 mts SIDETUR</t>
  </si>
  <si>
    <t>CAB0114012</t>
  </si>
  <si>
    <t>CABILLA ESTRIADA 3/4 X 12,00 mts SIDOR</t>
  </si>
  <si>
    <t>CAB0114013</t>
  </si>
  <si>
    <t>CABILLA ESTRIADA 3/4 X 6,00 mts SIDOR</t>
  </si>
  <si>
    <t>CAB0114014</t>
  </si>
  <si>
    <t>CABILLA ESTRIADA 7/8 X 12,00 mts  SIDETUR</t>
  </si>
  <si>
    <t>CAB0114001</t>
  </si>
  <si>
    <t xml:space="preserve">CABILLA ESTRIADA 1" X 12,00 mts LEVE OXIDO </t>
  </si>
  <si>
    <t>CAB0114015</t>
  </si>
  <si>
    <t>CABILLA ESTRIADA 1" X 12,00 mts SIDETUR</t>
  </si>
  <si>
    <t>CERCHAS</t>
  </si>
  <si>
    <t>6.1</t>
  </si>
  <si>
    <t xml:space="preserve">CERCHAS </t>
  </si>
  <si>
    <t>CER</t>
  </si>
  <si>
    <t>0-0</t>
  </si>
  <si>
    <t>CER0100001</t>
  </si>
  <si>
    <t>CERCHAS 10mm X 6 mts</t>
  </si>
  <si>
    <t>6.2</t>
  </si>
  <si>
    <t>CER0100002</t>
  </si>
  <si>
    <t>CERCHAS 15mm X 6 mts</t>
  </si>
  <si>
    <t>FLANCHE</t>
  </si>
  <si>
    <t>7.1</t>
  </si>
  <si>
    <t xml:space="preserve">FLANCHE </t>
  </si>
  <si>
    <t>FLA</t>
  </si>
  <si>
    <t>FLA0101001</t>
  </si>
  <si>
    <t>FLANCHE 20 X 20 X 12 mm</t>
  </si>
  <si>
    <t>LAMINAS HIERRO NEGRO</t>
  </si>
  <si>
    <t>8.1</t>
  </si>
  <si>
    <t xml:space="preserve">LAMINA HIERRO NEGRO </t>
  </si>
  <si>
    <t>LAM</t>
  </si>
  <si>
    <t>LAM0113007</t>
  </si>
  <si>
    <t xml:space="preserve">LAMINA HN 2,50 mm X 1,250 X 2,40 m </t>
  </si>
  <si>
    <t>Lam</t>
  </si>
  <si>
    <t>8.2</t>
  </si>
  <si>
    <t>LAM0113001</t>
  </si>
  <si>
    <t xml:space="preserve">LAMINA HN 3,00 mm X 1,250 X 2,40 m </t>
  </si>
  <si>
    <t xml:space="preserve">Lam </t>
  </si>
  <si>
    <t>8.3</t>
  </si>
  <si>
    <t>LAM0113008</t>
  </si>
  <si>
    <t xml:space="preserve">LAMINA HN 5,00 mm X 1,005 X 2,40 m </t>
  </si>
  <si>
    <t>8.4</t>
  </si>
  <si>
    <t>LAM0113002</t>
  </si>
  <si>
    <t xml:space="preserve">LAMINA HN 5,00 mm X 1,200 X 2,40 m </t>
  </si>
  <si>
    <t>8.5</t>
  </si>
  <si>
    <t>LAM0113003</t>
  </si>
  <si>
    <t xml:space="preserve">LAMINA HN 5,00 mm X 1,205 X 2,40 m </t>
  </si>
  <si>
    <t>8.6</t>
  </si>
  <si>
    <t>LAM0113004</t>
  </si>
  <si>
    <t xml:space="preserve">LAMINA HN 6,00 mm X 1,005 X 2,00 m </t>
  </si>
  <si>
    <t>8.7</t>
  </si>
  <si>
    <t>LAM0113005</t>
  </si>
  <si>
    <t xml:space="preserve">LAMINA HN 6,00 mm X 1,205 X 2,40 m </t>
  </si>
  <si>
    <t>8.8</t>
  </si>
  <si>
    <t>LAM0113006</t>
  </si>
  <si>
    <t xml:space="preserve">LAMINA HN 6,00 mm X 1,210 X 2,40 m </t>
  </si>
  <si>
    <t>8.9</t>
  </si>
  <si>
    <t>LAM0113009</t>
  </si>
  <si>
    <t xml:space="preserve">LAMINA HN 10,00 mm X 1,200 X 2,40 m </t>
  </si>
  <si>
    <t>LAMINAS HIERRO PULIDO</t>
  </si>
  <si>
    <t>9.1</t>
  </si>
  <si>
    <t xml:space="preserve">LAMINA HIERRO PULIDO </t>
  </si>
  <si>
    <t>LAM0213001</t>
  </si>
  <si>
    <t>LAMINA HP 0,45 mm X 1,20 X 2,40 m</t>
  </si>
  <si>
    <t>9.2</t>
  </si>
  <si>
    <t>LAM0213002</t>
  </si>
  <si>
    <t>LAMINA HP 0,70 mm X 1,20 m X 1,40 m PROMOCION</t>
  </si>
  <si>
    <t>9.3</t>
  </si>
  <si>
    <t>LAM0213003</t>
  </si>
  <si>
    <t>LAMINA HP 0,90 mm X 1,20  X 2,40 m</t>
  </si>
  <si>
    <t>9.4</t>
  </si>
  <si>
    <t>LAM0213004</t>
  </si>
  <si>
    <t>LAMINA HP 0,90 mm X 1,23 X 2,00 m</t>
  </si>
  <si>
    <t>9.5</t>
  </si>
  <si>
    <t>LAM0213005</t>
  </si>
  <si>
    <t xml:space="preserve">LAMINA HP 1,10 mm X 1,22  X 2,40 m </t>
  </si>
  <si>
    <t>9.6</t>
  </si>
  <si>
    <t>LAM0213006</t>
  </si>
  <si>
    <t>LAMINA HP 1,50 mm X 1,20 X 1,40 m</t>
  </si>
  <si>
    <t>LAMINAS ESTRIADA</t>
  </si>
  <si>
    <t>10.1</t>
  </si>
  <si>
    <t xml:space="preserve">LAMINA ESTRIADA </t>
  </si>
  <si>
    <t>LAM0114001</t>
  </si>
  <si>
    <t xml:space="preserve">LAMINA EST. 2,50 mm X 1010 X 2,40 m </t>
  </si>
  <si>
    <t>10.2</t>
  </si>
  <si>
    <t>LAM0114003</t>
  </si>
  <si>
    <t>LAMINA EST. 3,00 mm X 1000 X 2,40 m</t>
  </si>
  <si>
    <t>10.3</t>
  </si>
  <si>
    <t>LAM0114002</t>
  </si>
  <si>
    <t xml:space="preserve">LAMINA EST. 5,00 mm X 1010 X 2,20 m </t>
  </si>
  <si>
    <t>LAMINAS GALVANIZADA</t>
  </si>
  <si>
    <t>11.1</t>
  </si>
  <si>
    <t xml:space="preserve">LAMINA GALVANIZADA </t>
  </si>
  <si>
    <t>LAM0413001</t>
  </si>
  <si>
    <t>LAMINA GALV. LISA CAL. 26-0,40 mm X 1200 X 2,40 m</t>
  </si>
  <si>
    <t>11.2</t>
  </si>
  <si>
    <t>LAM0413004</t>
  </si>
  <si>
    <t>LAMINA GALV. LISA CAL. 24-0,55 mm X 1200 X 2,40 m</t>
  </si>
  <si>
    <t>11.3</t>
  </si>
  <si>
    <t>LAM0413008</t>
  </si>
  <si>
    <t>LAMINA GALV. LISA CAL.  22-0,60 mm X 1200 X 2,40 m</t>
  </si>
  <si>
    <t>11.4</t>
  </si>
  <si>
    <t>LAM0413010</t>
  </si>
  <si>
    <t>LAMINA GALV. LISA CAL.  17-1,10 mm X 1200 X 2,40 m</t>
  </si>
  <si>
    <t>11.5</t>
  </si>
  <si>
    <t>LAM0413009</t>
  </si>
  <si>
    <t>LAMINA GALV. LISA CAL.  17-1,50 mm X 1200 X 2,40 m</t>
  </si>
  <si>
    <t>11.6</t>
  </si>
  <si>
    <t>LAM0413011</t>
  </si>
  <si>
    <t>LAMINA GALV. LISA CAL.  17-1,90 mm X 1200 X 2,40 m</t>
  </si>
  <si>
    <t>11.7</t>
  </si>
  <si>
    <t>LAM0413002</t>
  </si>
  <si>
    <t>LAMINA GALV. LISA CAL. 22-0,70 mm X 1205 X 2,40 m</t>
  </si>
  <si>
    <t>11.8</t>
  </si>
  <si>
    <t>LAM0413005</t>
  </si>
  <si>
    <t>LAMINA GALV. LISA CAL. 20-0,95 mm X 1205 X 2,40 m</t>
  </si>
  <si>
    <t>11.9</t>
  </si>
  <si>
    <t>LAM0413006</t>
  </si>
  <si>
    <t>LAMINA GALV. LISA CAL. 18-1,31 mm X 1205 X 2,40 m</t>
  </si>
  <si>
    <t>11.10</t>
  </si>
  <si>
    <t>LAM0413007</t>
  </si>
  <si>
    <t>LAMINA GALV. LISA CAL. 16-1,61 mm X 1205 X 2,40 m</t>
  </si>
  <si>
    <t>LAMINAS DE TECHO</t>
  </si>
  <si>
    <t>12.1</t>
  </si>
  <si>
    <t>LAMINAS TERMOPANEL</t>
  </si>
  <si>
    <t>LAM1255001</t>
  </si>
  <si>
    <t xml:space="preserve">LAMINA TERMOPANEL SOLAR 3,70 X 1,04 mts </t>
  </si>
  <si>
    <t>12.2</t>
  </si>
  <si>
    <t>LAM1255002</t>
  </si>
  <si>
    <t xml:space="preserve">LAMINA TERMOPANEL SOLAR 4,05 X 1,04 mts </t>
  </si>
  <si>
    <t>12.3</t>
  </si>
  <si>
    <t>LAM1255003</t>
  </si>
  <si>
    <t xml:space="preserve">LAMINA TERMOPANEL SOLAR  4,20 X 1,04 mts </t>
  </si>
  <si>
    <t>12.4</t>
  </si>
  <si>
    <t>LAM1255004</t>
  </si>
  <si>
    <t xml:space="preserve">LAMINA TERMOPANEL SOLAR 4,90 X 1,02 mts </t>
  </si>
  <si>
    <t>12.5</t>
  </si>
  <si>
    <t>LAM1255005</t>
  </si>
  <si>
    <t xml:space="preserve">LAMINA TERMOPANEL SOLAR 5,90 X 1,04 mts </t>
  </si>
  <si>
    <t>12.6</t>
  </si>
  <si>
    <t>LAM1255006</t>
  </si>
  <si>
    <t xml:space="preserve">LAMINA TERMOPANEL SOLAR 7,90 X 1,04 mts </t>
  </si>
  <si>
    <t>12.7</t>
  </si>
  <si>
    <t>LAM1915006</t>
  </si>
  <si>
    <t>LOSACERO 6,10 X 0,80 mts CAL 20</t>
  </si>
  <si>
    <t>12.8</t>
  </si>
  <si>
    <t xml:space="preserve">LOSACERO </t>
  </si>
  <si>
    <t>LAM1915001</t>
  </si>
  <si>
    <t>LOSACERO 6,10 X 0,79 mts CAL 22</t>
  </si>
  <si>
    <t>12.9</t>
  </si>
  <si>
    <t>LAM1915003</t>
  </si>
  <si>
    <t>LOSACERO 6,10 X 0,60 mts CAL 24</t>
  </si>
  <si>
    <t>12.10</t>
  </si>
  <si>
    <t>LAM1915004</t>
  </si>
  <si>
    <t>LOSACERO 6,10 X 0,65 mts CAL 24</t>
  </si>
  <si>
    <t>12.11</t>
  </si>
  <si>
    <t>LAM1915002</t>
  </si>
  <si>
    <t>LOSACERO 6,10 X 0,80 mts CAL 24</t>
  </si>
  <si>
    <t>12.12</t>
  </si>
  <si>
    <t>LAM1915005</t>
  </si>
  <si>
    <t>LOSACERO 6,10 X 0,75 mts CAL 26</t>
  </si>
  <si>
    <t>12.13</t>
  </si>
  <si>
    <t>LAM0413003</t>
  </si>
  <si>
    <t xml:space="preserve">LAMINA ZINC GALV.  0,17 X 0.80 X 3,66 m </t>
  </si>
  <si>
    <t>12.14</t>
  </si>
  <si>
    <t>LAMINAS PREPINTADO (ZINC)</t>
  </si>
  <si>
    <t>LAM1916001</t>
  </si>
  <si>
    <t xml:space="preserve">LAM. PREPINTADO ROJO (ZINC) 0,15 X 800 X 3,00 MTS </t>
  </si>
  <si>
    <t>12.15</t>
  </si>
  <si>
    <t>LAM1916002</t>
  </si>
  <si>
    <t xml:space="preserve">LAM. PREPINTADO ROJO (ZINC) 0,15 X 800 X 3,60 MTS </t>
  </si>
  <si>
    <t>12.16</t>
  </si>
  <si>
    <t>LAM1916003</t>
  </si>
  <si>
    <t xml:space="preserve">LAM. PREPINTADO ROJO (ZINC) 0,17 X 800 X 3,00 MTS </t>
  </si>
  <si>
    <t>12.17</t>
  </si>
  <si>
    <t>LAM1916004</t>
  </si>
  <si>
    <t xml:space="preserve">LAM. PREPINTADO ROJO (ZINC) 0,17 X 800 X 3,60 MTS </t>
  </si>
  <si>
    <t>12.18</t>
  </si>
  <si>
    <t>LAMINAS PR1 ROJO</t>
  </si>
  <si>
    <t>LAM1916005</t>
  </si>
  <si>
    <t>LAMINA PR1 PREPINTADO ROJO 0,27 X 1050 X 3,00 mts</t>
  </si>
  <si>
    <t>12.19</t>
  </si>
  <si>
    <t>LAM1916006</t>
  </si>
  <si>
    <t>LAMINA PR1 PREPINTADO ROJO 0,27 X 1050 X 3,60 mts</t>
  </si>
  <si>
    <t>12.20</t>
  </si>
  <si>
    <t xml:space="preserve">LAMINAS </t>
  </si>
  <si>
    <t>LAM1954001</t>
  </si>
  <si>
    <t xml:space="preserve">LAMINA GALVATECHO  5,80 X 0,90 mts </t>
  </si>
  <si>
    <t>12.21</t>
  </si>
  <si>
    <t>LAMINAS ARQUITECTONICAS</t>
  </si>
  <si>
    <t>LAM1954003</t>
  </si>
  <si>
    <t>LAMINA ARQUITECTONICA AZUL 6 mts x 1,08 x 0,25 cal</t>
  </si>
  <si>
    <t>12.22</t>
  </si>
  <si>
    <t>LAM1954004</t>
  </si>
  <si>
    <t>LAMINA ARQUITECTONICA ROJA 6 mts x 1,08 x 0,25 cal</t>
  </si>
  <si>
    <t>12.23</t>
  </si>
  <si>
    <t>LAM 1954006</t>
  </si>
  <si>
    <t>LAMINA ARQUITECTONICA AZUL 6 mts x 1,08 x 0,35 cal</t>
  </si>
  <si>
    <t>12.24</t>
  </si>
  <si>
    <t>LAM 1954007</t>
  </si>
  <si>
    <t>LAMINA ARQUITECTONICA BLANCA 6 mts x 1,08 x 0,35 cal</t>
  </si>
  <si>
    <t>12.25</t>
  </si>
  <si>
    <t>LAM 1954005</t>
  </si>
  <si>
    <t>LAMINA ARQUITECTONICA NARANJA 6 mts x 1,08 x 0,35 cal</t>
  </si>
  <si>
    <t>12.26</t>
  </si>
  <si>
    <t>LAMINAS ACEROLIT</t>
  </si>
  <si>
    <t>LAM1955006</t>
  </si>
  <si>
    <t xml:space="preserve">LAMINA ACEROLIT  ROJO CANAL ONDULADO  4,00 X 0,80 mts </t>
  </si>
  <si>
    <t>12.27</t>
  </si>
  <si>
    <t>LAM1955007</t>
  </si>
  <si>
    <t xml:space="preserve">LAMINA TIPO PVC MIL TEJAS TRANSPARENTE  6,60 X 1,04 mts </t>
  </si>
  <si>
    <t>12.28</t>
  </si>
  <si>
    <t xml:space="preserve">LAMINA CABALLETE /CUMBRERA </t>
  </si>
  <si>
    <t>LAM1955005</t>
  </si>
  <si>
    <t>CABALLETE CUMBRERA 0,70 X 2,00 mts</t>
  </si>
  <si>
    <t>12.29</t>
  </si>
  <si>
    <t>LAM1954002</t>
  </si>
  <si>
    <t>REMATE PARA FACHADA 0,20 X 2,00 mts</t>
  </si>
  <si>
    <t>LAMINAS OTRAS</t>
  </si>
  <si>
    <t>13.1</t>
  </si>
  <si>
    <t>LAMINAS DRYWALL</t>
  </si>
  <si>
    <t>LAM1115001</t>
  </si>
  <si>
    <t>LAMINA MIL TEJAS 2,00 X 1,05 M X 5,70 M</t>
  </si>
  <si>
    <t>MALLAS</t>
  </si>
  <si>
    <t>14.1</t>
  </si>
  <si>
    <t>MALLA TRUCKSON</t>
  </si>
  <si>
    <t>MAL</t>
  </si>
  <si>
    <t>MAL0138001</t>
  </si>
  <si>
    <t>MALLA TRUCKSON 5 X 5 X 120 mts</t>
  </si>
  <si>
    <t>14.2</t>
  </si>
  <si>
    <t>MAL0138002</t>
  </si>
  <si>
    <t>MALLA TRUCKSON 6 X 6 X 100 mts</t>
  </si>
  <si>
    <t>14.3</t>
  </si>
  <si>
    <t>MAL0138003</t>
  </si>
  <si>
    <t>MALLA TRUCKSON 6 X 8 X 100 mts</t>
  </si>
  <si>
    <t>VIGAS WF</t>
  </si>
  <si>
    <t>15.1</t>
  </si>
  <si>
    <t>VIGA WF</t>
  </si>
  <si>
    <t>VIG</t>
  </si>
  <si>
    <t>VIG0110001</t>
  </si>
  <si>
    <t>VIGA WF 10X17 TIPO IPE 260 X 100 X 5,92 mts C/FLANCHE12X22cmX16mm</t>
  </si>
  <si>
    <t>15.2</t>
  </si>
  <si>
    <t>VIG0110002</t>
  </si>
  <si>
    <t>VIGA WF 12X19 TIPO IPE 300 X 100 X 6,00 mts</t>
  </si>
  <si>
    <t>15.3</t>
  </si>
  <si>
    <t>VIG0110003</t>
  </si>
  <si>
    <t>VIGA WF 12X22 TIPO IPE 300 X 105 X 6,00 mts</t>
  </si>
  <si>
    <t>15.4</t>
  </si>
  <si>
    <t>VIG0110004</t>
  </si>
  <si>
    <t>VIGA WF 12X26 TIPO IPE 300 X 165 X 6,18 mts C/FLANCHE45X17cmX16mm</t>
  </si>
  <si>
    <t>v</t>
  </si>
  <si>
    <t>ZUNCHO</t>
  </si>
  <si>
    <t>16.1</t>
  </si>
  <si>
    <t>ZUN0140007</t>
  </si>
  <si>
    <t>ZUNCHO 12 X 15 X 4,50 mm (Paquete 20 und)</t>
  </si>
  <si>
    <t xml:space="preserve">Paq </t>
  </si>
  <si>
    <t>16.2</t>
  </si>
  <si>
    <t>ZUNCHOS</t>
  </si>
  <si>
    <t>ZUN</t>
  </si>
  <si>
    <t>ZUN0140004</t>
  </si>
  <si>
    <t>ZUNCHO 12 X 15 X 5,20 mm (Paquete 20 und)</t>
  </si>
  <si>
    <t>16.3</t>
  </si>
  <si>
    <t>ZUN0140005</t>
  </si>
  <si>
    <t>ZUNCHO 15 X 15 X 5,20 mm (Paquete 20 und)</t>
  </si>
  <si>
    <t>16.4</t>
  </si>
  <si>
    <t>ZUN0140010</t>
  </si>
  <si>
    <t>ZUNCHO 15 X 20 X 5,20 mm (Paquete 20 und)</t>
  </si>
  <si>
    <t>16.5</t>
  </si>
  <si>
    <t>ZUN0140008</t>
  </si>
  <si>
    <t>ZUNCHO 15 X 15 X 10 mm (Paquete 20 und)</t>
  </si>
  <si>
    <t>16.6</t>
  </si>
  <si>
    <t>ZUN0140009</t>
  </si>
  <si>
    <t>ZUNCHO 15 X 12 X 10 mm (Paquete 20 und)</t>
  </si>
  <si>
    <t>16.7</t>
  </si>
  <si>
    <t>ZUN0140006</t>
  </si>
  <si>
    <t>ZUNCHO 12 X 15 X 7,50 mm (Paquete 20 und)</t>
  </si>
  <si>
    <t>16.8</t>
  </si>
  <si>
    <t>ZUN0140001</t>
  </si>
  <si>
    <t>ZUNCHO 20 X 20 X 7,5 mm (Paquete de 20 und)</t>
  </si>
  <si>
    <t>16.9</t>
  </si>
  <si>
    <t>ZUN0140002</t>
  </si>
  <si>
    <t>ZUNCHO 20 X 20 X 9 mm (Paquete de 20 und)</t>
  </si>
  <si>
    <t>16.10</t>
  </si>
  <si>
    <t>ZUN0140003</t>
  </si>
  <si>
    <t>ZUNCHO 20 X 25 X 9 mm (Paquete de 20 und)</t>
  </si>
  <si>
    <t>PERFILES ANGULOS</t>
  </si>
  <si>
    <t>17.1</t>
  </si>
  <si>
    <t>ANGULOS</t>
  </si>
  <si>
    <t>PER</t>
  </si>
  <si>
    <t>PER0111001</t>
  </si>
  <si>
    <t xml:space="preserve">ANGULO 20 X 3mm X 6,00 mts </t>
  </si>
  <si>
    <t>17.2</t>
  </si>
  <si>
    <t>PER0111008</t>
  </si>
  <si>
    <t xml:space="preserve">ANGULO 25 X 3mm X 6,00 mts </t>
  </si>
  <si>
    <t>17.3</t>
  </si>
  <si>
    <t>PER0111012</t>
  </si>
  <si>
    <t xml:space="preserve">ANGULO 30 X 2,5mm X 6,00 mts </t>
  </si>
  <si>
    <t>17.4</t>
  </si>
  <si>
    <t>PER0111009</t>
  </si>
  <si>
    <t>ANGULO 40 X 3mm X 6,00 mts *</t>
  </si>
  <si>
    <t>17.5</t>
  </si>
  <si>
    <t>PER0111002</t>
  </si>
  <si>
    <t>ANGULO 40 X 4mm X 6,00 mts *</t>
  </si>
  <si>
    <t>17.6</t>
  </si>
  <si>
    <t>PER0111003</t>
  </si>
  <si>
    <t>ANGULO 50 X 4mm X 6,00 mts *</t>
  </si>
  <si>
    <t>17.7</t>
  </si>
  <si>
    <t>PER0111004</t>
  </si>
  <si>
    <t>ANGULO 50 X 5mm X 6,00 mts*</t>
  </si>
  <si>
    <t>17.8</t>
  </si>
  <si>
    <t>PER0111005</t>
  </si>
  <si>
    <t>ANGULO 65 X 5mm X 6,00 mts</t>
  </si>
  <si>
    <t>17.9</t>
  </si>
  <si>
    <t>PER0111011</t>
  </si>
  <si>
    <t>ANGULO 75 X 7mm X 12,00 mts</t>
  </si>
  <si>
    <t>17.10</t>
  </si>
  <si>
    <t>PER0111010</t>
  </si>
  <si>
    <t>ANGULO 75 X 8mm X 6,00 mts</t>
  </si>
  <si>
    <t>17.11</t>
  </si>
  <si>
    <t>PER0111006</t>
  </si>
  <si>
    <t>ANGULO 75 X 8mm X 12,00 mts</t>
  </si>
  <si>
    <t>17.12</t>
  </si>
  <si>
    <t>PER0111007</t>
  </si>
  <si>
    <t>ANGULO 65 X 6mm X 6,00 mts</t>
  </si>
  <si>
    <t>PERFILES PLETINA</t>
  </si>
  <si>
    <t>18.1</t>
  </si>
  <si>
    <t xml:space="preserve">PLETINA </t>
  </si>
  <si>
    <t>PER0112004</t>
  </si>
  <si>
    <t>PLETINA 1/2 X 6,00 mts</t>
  </si>
  <si>
    <t>18.2</t>
  </si>
  <si>
    <t>PER0112003</t>
  </si>
  <si>
    <t>PLETINA 1 X 1/8 X 6,00 mts</t>
  </si>
  <si>
    <t>18.3</t>
  </si>
  <si>
    <t>PER0112006</t>
  </si>
  <si>
    <t>PLETINA 1 X 1/4 X 6,00 mts</t>
  </si>
  <si>
    <t>18.4</t>
  </si>
  <si>
    <t>PER0112001</t>
  </si>
  <si>
    <t>PLETINA 1 X 3/16 X 6 mts</t>
  </si>
  <si>
    <t>18.5</t>
  </si>
  <si>
    <t>PER0112002</t>
  </si>
  <si>
    <t>PLETINA 1 1/2  X 3/16 x 6,00 mts</t>
  </si>
  <si>
    <t>18.6</t>
  </si>
  <si>
    <t>PER0112007</t>
  </si>
  <si>
    <t>PLETINA 1 1/2 X 1/8 X 6,00 mts</t>
  </si>
  <si>
    <t>18.7</t>
  </si>
  <si>
    <t>PER0112005</t>
  </si>
  <si>
    <t>PLETINA 2 X 1/8 X 6,00 mts</t>
  </si>
  <si>
    <t>PERFILES OTROS</t>
  </si>
  <si>
    <t>19.1</t>
  </si>
  <si>
    <t xml:space="preserve">PORTONES DECORATIVOS </t>
  </si>
  <si>
    <t>PER0101001</t>
  </si>
  <si>
    <t xml:space="preserve">PORTONES DECORATIVOS 2,58 X 2,52 mts </t>
  </si>
  <si>
    <t>19.2</t>
  </si>
  <si>
    <t>PERFIL PARA MARCOS</t>
  </si>
  <si>
    <t>PER0143001</t>
  </si>
  <si>
    <t xml:space="preserve">PERFIL PARA MARCOS DE PUERTAS 10 X 5,80  mts </t>
  </si>
  <si>
    <t>19.3</t>
  </si>
  <si>
    <t>PERFIL VIGUETA TIPO C GALVANIZADO</t>
  </si>
  <si>
    <t>PER0400003</t>
  </si>
  <si>
    <t xml:space="preserve">PERFIL VIGUETA TIPO C GALV 80 X 40 X 2mm X 5,80 mts </t>
  </si>
  <si>
    <t>19.4</t>
  </si>
  <si>
    <t>PER4400004</t>
  </si>
  <si>
    <t xml:space="preserve">PERFIL VIGUETA TIPO C GALV 120 X 60 X 2,2mm X 3,00 mts </t>
  </si>
  <si>
    <t>19.5</t>
  </si>
  <si>
    <t>PER0400002</t>
  </si>
  <si>
    <t xml:space="preserve">PERFIL VIGUETA TIPO C GALV 140 X 60 X 2,2mm X 5,80 mts </t>
  </si>
  <si>
    <t>TUBOS ESTRUCTURALES CUADRADO</t>
  </si>
  <si>
    <t>20.1</t>
  </si>
  <si>
    <t xml:space="preserve">TUBERIA PULIDA CUADRADA </t>
  </si>
  <si>
    <t>TUB</t>
  </si>
  <si>
    <t>TUB0301009</t>
  </si>
  <si>
    <t>TUBO ESTRUC. CUAD. 40 X 40 X 2,50mm X 6,00 mts</t>
  </si>
  <si>
    <t>Pza</t>
  </si>
  <si>
    <t>20.2</t>
  </si>
  <si>
    <t>TUB0301010</t>
  </si>
  <si>
    <t xml:space="preserve">TUBO ESTRUC. CUAD. 50 X 50 X 2,50mm X 6,00 mts </t>
  </si>
  <si>
    <t>20.3</t>
  </si>
  <si>
    <t>TUB0301011</t>
  </si>
  <si>
    <t xml:space="preserve">TUBO ESTRUC. CUAD. 60 X 60 X 2,5mm X 6,00 mts </t>
  </si>
  <si>
    <t>20.4</t>
  </si>
  <si>
    <t>TUBERIA PULIDA RECTANGULAR</t>
  </si>
  <si>
    <t>TUB0301012</t>
  </si>
  <si>
    <t xml:space="preserve">TUBO ESTRUC. CUAD. 70 X 70 X 2,5mm X 6,00 mts </t>
  </si>
  <si>
    <t>20.5</t>
  </si>
  <si>
    <t>TUB0301013</t>
  </si>
  <si>
    <t xml:space="preserve">TUBO ESTRUC. CUAD. 90 X 90 X 2,00mm X 6,00 mts </t>
  </si>
  <si>
    <t>20.6</t>
  </si>
  <si>
    <t>TUB0301014</t>
  </si>
  <si>
    <t>TUBO ESTRUC. CUAD. 90 X 90 X 3,2mm X 3,90 mts 2da</t>
  </si>
  <si>
    <t>20.7</t>
  </si>
  <si>
    <t>TUB0301015</t>
  </si>
  <si>
    <t>TUBO ESTRUC. CUAD. 90 X 90 X 3,2mm X 4,85 mts 2da</t>
  </si>
  <si>
    <t>20.8</t>
  </si>
  <si>
    <t>TUB0301016</t>
  </si>
  <si>
    <t>TUBO ESTRUC. CUAD. 90 X 90 X 3,2mm X 4,95 mts 2da</t>
  </si>
  <si>
    <t>20.9</t>
  </si>
  <si>
    <t>TUB0301020</t>
  </si>
  <si>
    <t>TUBO ESTRUC. CUAD. 100 X 100 X 1,50mm X 6,00 mts</t>
  </si>
  <si>
    <t>20.10</t>
  </si>
  <si>
    <t>TUB0301001</t>
  </si>
  <si>
    <t>TUBO ESTRUC. CUAD. 100 X 100 X 2,00mm X 6,00 mts</t>
  </si>
  <si>
    <t>20.11</t>
  </si>
  <si>
    <t>TUB0301002</t>
  </si>
  <si>
    <t>TUBO ESTRUC. CUAD. 100 X 100 X 2,5mm X 12,00 mts</t>
  </si>
  <si>
    <t>20.12</t>
  </si>
  <si>
    <t>TUB0301021</t>
  </si>
  <si>
    <t>TUBO ESTRUC. CUAD. 100 X 100 X 3,5mm X 12,00 mts</t>
  </si>
  <si>
    <t>20.13</t>
  </si>
  <si>
    <t>TUB0301017</t>
  </si>
  <si>
    <t>TUBO ESTRUC. CUAD. 100 X 100 X 2,5mm X 6,00 mts</t>
  </si>
  <si>
    <t>20.14</t>
  </si>
  <si>
    <t>TUB0301003</t>
  </si>
  <si>
    <t>TUBO ESTRUC. CUAD. 100 X 100 X 3,00 mm X 6,00 mts</t>
  </si>
  <si>
    <t>20.15</t>
  </si>
  <si>
    <t>TUB0301018</t>
  </si>
  <si>
    <t>TUBO ESTRUC. CUAD. 120 X 120 X 4,00 mm X 12,00 mts</t>
  </si>
  <si>
    <t>20.16</t>
  </si>
  <si>
    <t>TUB0301022</t>
  </si>
  <si>
    <t>TUBO ESTRUC. CUAD. 120 X 120 X 4,50 mm X 12,00 mts</t>
  </si>
  <si>
    <t>20.17</t>
  </si>
  <si>
    <t>TUB0301019</t>
  </si>
  <si>
    <t>TUBO ESTRUC. CUAD. 120 X 120 X 4,00 mm X 6,00 mts</t>
  </si>
  <si>
    <t>PZA</t>
  </si>
  <si>
    <t>20.18</t>
  </si>
  <si>
    <t>TUB0301004</t>
  </si>
  <si>
    <t>TUBO ESTRUC. CUAD. 125 X 125 X 4,00mm X 1,56 mts   2da</t>
  </si>
  <si>
    <t>20.19</t>
  </si>
  <si>
    <t>TUB0301005</t>
  </si>
  <si>
    <t>TUBO ESTRUC. CUAD. 125 X 125 X 4,00mm X 2,06 mts   2da</t>
  </si>
  <si>
    <t>20.20</t>
  </si>
  <si>
    <t>TUB0301006</t>
  </si>
  <si>
    <t>TUBO ESTRUC. CUAD. 125 X 125 X 4,00mm X 2,20 mts   2da</t>
  </si>
  <si>
    <t>20.21</t>
  </si>
  <si>
    <t>TUB0301007</t>
  </si>
  <si>
    <t>TUBO ESTRUC. CUAD. 125 X 125 X 4,00mm X 2,60 mts   2da</t>
  </si>
  <si>
    <t>20.22</t>
  </si>
  <si>
    <t>TUB0301023</t>
  </si>
  <si>
    <t>TUBO ESTRUC. CUAD. 155 X 155 X 4,20mm X 12,00 mts</t>
  </si>
  <si>
    <t>20.23</t>
  </si>
  <si>
    <t>TUB0301008</t>
  </si>
  <si>
    <t xml:space="preserve">TUBO ESTRUC. CUAD. 200 X 200 X 5,00mm X 12,00 mts </t>
  </si>
  <si>
    <t>TUBOS ESTRUCTURALES RECTANGULAR</t>
  </si>
  <si>
    <t>21.1</t>
  </si>
  <si>
    <t>TUBERIA ESTRUCTURAL CUADRADA</t>
  </si>
  <si>
    <t>TUB0302005</t>
  </si>
  <si>
    <t>TUBO ESTRUC. RECT. 80 X 40 X 2,00mm X 6,00 mts</t>
  </si>
  <si>
    <t>21.2</t>
  </si>
  <si>
    <t>TUB0302010</t>
  </si>
  <si>
    <t>TUBO ESTRUC. RECT. 80 X 40 X 2,50mm X 12,00 mts</t>
  </si>
  <si>
    <t>21.3</t>
  </si>
  <si>
    <t>TUB0302001</t>
  </si>
  <si>
    <t xml:space="preserve">TUBO ESTRUC. RECT. 100 X 40 X 2,00mm X 6,00 mts </t>
  </si>
  <si>
    <t>21.4</t>
  </si>
  <si>
    <t>TUB0302007</t>
  </si>
  <si>
    <t xml:space="preserve">TUBO ESTRUC. RECT. 100 X 40 X 2,50mm X 12,00 mts </t>
  </si>
  <si>
    <t>21.5</t>
  </si>
  <si>
    <t>TUB0302002</t>
  </si>
  <si>
    <t xml:space="preserve">TUBO ESTRUC. RECT. 120 X 60 X 2,5mm X 6,00 mts </t>
  </si>
  <si>
    <t>21.6</t>
  </si>
  <si>
    <t>TUB0302008</t>
  </si>
  <si>
    <t xml:space="preserve">TUBO ESTRUC. RECT. 120 X 60 X 2,5mm X 12,00 mts </t>
  </si>
  <si>
    <t>21.7</t>
  </si>
  <si>
    <t>TUB0339001</t>
  </si>
  <si>
    <t>TUBO ESTRUC. RECT. 120 X 60 X 3,00mm X 2,60 mts 2da</t>
  </si>
  <si>
    <t>21.8</t>
  </si>
  <si>
    <t>TUB0339002</t>
  </si>
  <si>
    <t>TUBO ESTRUC. RECT. 120 X 60 X 3,00mm X 3,00 mts 2da</t>
  </si>
  <si>
    <t>21.9</t>
  </si>
  <si>
    <t>TUB0339003</t>
  </si>
  <si>
    <t>TUBO ESTRUC. RECT. 120 X 60 X 3,00mm X 4,60 mts  2da</t>
  </si>
  <si>
    <t>21.10</t>
  </si>
  <si>
    <t>TUB0339004</t>
  </si>
  <si>
    <t>TUBO ESTRUC. RECT. 120 X 60 X 3,00mm X 4,80 mts  2da</t>
  </si>
  <si>
    <t>21.11</t>
  </si>
  <si>
    <t>TUB0339005</t>
  </si>
  <si>
    <t>TUBO ESTRUC. RECT. 120 X 60 X 3,00mm X 6,00 mts  2da Sold</t>
  </si>
  <si>
    <t>21.12</t>
  </si>
  <si>
    <t>TUB0302006</t>
  </si>
  <si>
    <t xml:space="preserve">TUBO ESTRUC. RECT. 140 X 60 X 2,50mm X 6,00 mts </t>
  </si>
  <si>
    <t>21.13</t>
  </si>
  <si>
    <t>TUB0339006</t>
  </si>
  <si>
    <t>TUBO ESTRUC. RECT. 150 X 75 X 5,00mm X 12,00 mts 2da</t>
  </si>
  <si>
    <t>21.14</t>
  </si>
  <si>
    <t>TUB0339007</t>
  </si>
  <si>
    <t>TUBO ESTRUC. RECT. 150 X 75 X 5,00mm X 6,00 mts 2da</t>
  </si>
  <si>
    <t>21.15</t>
  </si>
  <si>
    <t>TUB0302003</t>
  </si>
  <si>
    <t xml:space="preserve">TUBO ESTRUC. RECT. 160 X 65 X 3,00mm X 12,00 mts  </t>
  </si>
  <si>
    <t>21.16</t>
  </si>
  <si>
    <t>TUB0302009</t>
  </si>
  <si>
    <t xml:space="preserve">TUBO ESTRUC. RECT. 200 X 70 X 3,00mm X 12,00 mts </t>
  </si>
  <si>
    <t>21.17</t>
  </si>
  <si>
    <t>TUB0302004</t>
  </si>
  <si>
    <t xml:space="preserve">TUBO ESTRUC. RECT. 220 X 90 X 5,00mm X 6,00 mts </t>
  </si>
  <si>
    <t>TUBOS PULIDO CUADRADO</t>
  </si>
  <si>
    <t>22.1</t>
  </si>
  <si>
    <t xml:space="preserve">TUBERIA ESTRUCTURAL RECTANGULAR </t>
  </si>
  <si>
    <t>TUB0201003</t>
  </si>
  <si>
    <t xml:space="preserve">TUBO PULIDO CUAD. 1/2 X 1/2 X 0,90 mm X 6,00 mts </t>
  </si>
  <si>
    <t>22.2</t>
  </si>
  <si>
    <t>TUB0201009</t>
  </si>
  <si>
    <t xml:space="preserve">TUBO PULIDO CUAD. 3/4 X 3/4 X 0,80 mm X 6,00 mts </t>
  </si>
  <si>
    <t>22.3</t>
  </si>
  <si>
    <t>TUB0201015</t>
  </si>
  <si>
    <t xml:space="preserve">TUBO PULIDO CUAD. 3/4 X 3/4 X 0,90 mm X 6,00 mts </t>
  </si>
  <si>
    <t>22.4</t>
  </si>
  <si>
    <t>TUB0201004</t>
  </si>
  <si>
    <t xml:space="preserve">TUBO PULIDO CUAD. 1 X 1 X 0,90 mm X 6,00 mts 2da </t>
  </si>
  <si>
    <t>22.5</t>
  </si>
  <si>
    <t>TUB0201005</t>
  </si>
  <si>
    <t xml:space="preserve">TUBO PULIDO CUAD. 1 X 1 X 0,90mm X 6,00 mts </t>
  </si>
  <si>
    <t>22.6</t>
  </si>
  <si>
    <t>TUB0201014</t>
  </si>
  <si>
    <t xml:space="preserve">TUBO PULIDO CUAD. 1 X 1 X 1,90mm X 6,00 mts </t>
  </si>
  <si>
    <t>22.7</t>
  </si>
  <si>
    <t>TUB0201001</t>
  </si>
  <si>
    <t xml:space="preserve">TUBO PULIDO CUAD. 1 1/2 X 1 1/2 X 0,80 mm X 6,00 mts </t>
  </si>
  <si>
    <t>22.8</t>
  </si>
  <si>
    <t>TUB0201002</t>
  </si>
  <si>
    <t xml:space="preserve">TUBO PULIDO CUAD. 1 1/2 X 1 1/2 X 0,90 mm X 6,00 mts </t>
  </si>
  <si>
    <t>22.9</t>
  </si>
  <si>
    <t>TUB0201013</t>
  </si>
  <si>
    <t xml:space="preserve">TUBO PULIDO CUAD. 1 1/2 X 1 1/2 X 1,50 mm X 6,00 mts </t>
  </si>
  <si>
    <t>22.10</t>
  </si>
  <si>
    <t>TUB0201012</t>
  </si>
  <si>
    <t xml:space="preserve">TUBO PULIDO CUAD. 1 1/4 X 1 1/4 X 0,90 mm X 6,00 mts </t>
  </si>
  <si>
    <t>22.11</t>
  </si>
  <si>
    <t>TUB0201011</t>
  </si>
  <si>
    <t xml:space="preserve">TUBO PULIDO CUAD. 2 X 2 X 0,90 mm X 6,00 mts </t>
  </si>
  <si>
    <t>22.12</t>
  </si>
  <si>
    <t>TUB0201006</t>
  </si>
  <si>
    <t xml:space="preserve">TUBO PULIDO CUAD. 2 X 2 X 1,00 mm X 6,00 mts </t>
  </si>
  <si>
    <t>22.13</t>
  </si>
  <si>
    <t>TUB0201007</t>
  </si>
  <si>
    <t xml:space="preserve">TUBO PULIDO CUAD. 2 X 2 X 1,10 mm X 6,00 mts </t>
  </si>
  <si>
    <t>22.14</t>
  </si>
  <si>
    <t>TUB0201016</t>
  </si>
  <si>
    <t xml:space="preserve">TUBO PULIDO CUAD. 2 X 2 X 1,40 mm X 6,00 mts </t>
  </si>
  <si>
    <t>22.15</t>
  </si>
  <si>
    <t>TUB0201017</t>
  </si>
  <si>
    <t xml:space="preserve">TUBO PULIDO CUAD. 2 X 2 X 1,50 mm X 6,00 mts </t>
  </si>
  <si>
    <t>22.16</t>
  </si>
  <si>
    <t>TUB0201008</t>
  </si>
  <si>
    <t>TUBO PULIDO CUAD. 2 X 2 X 2,20 mm X 6,00 mts</t>
  </si>
  <si>
    <t>22.17</t>
  </si>
  <si>
    <t>TUB0201010</t>
  </si>
  <si>
    <t>TUBO PULIDO CUAD. 4 X 4 X 1,40 mm X 6,00 mts 2da</t>
  </si>
  <si>
    <t>TUBOS PULIDO RECTANGULAR</t>
  </si>
  <si>
    <t>23.1</t>
  </si>
  <si>
    <t>TUB0202001</t>
  </si>
  <si>
    <t xml:space="preserve">TUBO PULIDO RECT. 1 1/2 X 1/2 X 0,90 X 6,00 mts </t>
  </si>
  <si>
    <t>23.2</t>
  </si>
  <si>
    <t>TUBERIA GALVANIZADA EMT</t>
  </si>
  <si>
    <t>TUB0202003</t>
  </si>
  <si>
    <t>TUBO PULIDO RECT. 2 X 1 X 0,90 mm X 6,00 mts GALVANIZADO</t>
  </si>
  <si>
    <t>23.3</t>
  </si>
  <si>
    <t>TUBERIA GALVANIZADA ASTM REDONDA</t>
  </si>
  <si>
    <t>TUB0202004</t>
  </si>
  <si>
    <t xml:space="preserve">TUBO PULIDO RECT. 2 X 1 X 0,70 mm X 6,00 mts </t>
  </si>
  <si>
    <t>23.4</t>
  </si>
  <si>
    <t>TUB0202005</t>
  </si>
  <si>
    <t xml:space="preserve">TUBO PULIDO RECT. 2 X 1 X 0,90 mm X 6,00 mts </t>
  </si>
  <si>
    <t>23.5</t>
  </si>
  <si>
    <t>TUB0202006</t>
  </si>
  <si>
    <t>TUBO PULIDO RECT. 2 X 1 X 1,00 mm X 6,00 mts</t>
  </si>
  <si>
    <t>23.6</t>
  </si>
  <si>
    <t>TUB0202007</t>
  </si>
  <si>
    <t>TUBO PULIDO RECT. 2 X 1 X 1,20 mm X 6,00 mts</t>
  </si>
  <si>
    <t>23.7</t>
  </si>
  <si>
    <t>TUB0202014</t>
  </si>
  <si>
    <t>TUBO PULIDO RECT. 2 X 1 X 1,10 mm X 6,00 mts</t>
  </si>
  <si>
    <t>23.8</t>
  </si>
  <si>
    <t>TUB0202002</t>
  </si>
  <si>
    <t xml:space="preserve">TUBO PULIDO RECT. 2 1/2 X 1 1/2 X 0,90mm X 6,00 mts </t>
  </si>
  <si>
    <t>23.9</t>
  </si>
  <si>
    <t xml:space="preserve">TUBERIA AGUA FRIA </t>
  </si>
  <si>
    <t>TUB0202011</t>
  </si>
  <si>
    <t xml:space="preserve">TUBO PULIDO RECT. 3 X 1 X 0,90 mm X 6,00 mts </t>
  </si>
  <si>
    <t>23.10</t>
  </si>
  <si>
    <t>TUB0202012</t>
  </si>
  <si>
    <t xml:space="preserve">TUBO PULIDO RECT. 3 X 1 X 1,30 mm X 6,00 mts OFERTA </t>
  </si>
  <si>
    <t>23.11</t>
  </si>
  <si>
    <t>TUB0202016</t>
  </si>
  <si>
    <t xml:space="preserve">TUBO PULIDO RECT. 3 X 1 X 1,40 mm X 6,00 mts  </t>
  </si>
  <si>
    <t>23.12</t>
  </si>
  <si>
    <t>TUB0202015</t>
  </si>
  <si>
    <t xml:space="preserve">TUBO PULIDO RECT. 3 X 1 X 1,90 mm X 6,00 mts  </t>
  </si>
  <si>
    <t>23.13</t>
  </si>
  <si>
    <t>TUB0202008</t>
  </si>
  <si>
    <t xml:space="preserve">TUBO PULIDO RECT. 3 X 1 1/2 X 0,90 mm X 6,00 mts </t>
  </si>
  <si>
    <t>23.14</t>
  </si>
  <si>
    <t>TUB0239001</t>
  </si>
  <si>
    <t>TUBO PULIDO RECT. 3 X 1 1/2 X 0,90 mm X 6,00 mts 2da</t>
  </si>
  <si>
    <t>23.15</t>
  </si>
  <si>
    <t xml:space="preserve">TUBERIA GALVANIZADA </t>
  </si>
  <si>
    <t>TUB0202009</t>
  </si>
  <si>
    <t xml:space="preserve">TUBO PULIDO RECT. 3 X 1 1/2 X 1.10 mm X 6,00 mts </t>
  </si>
  <si>
    <t>23.16</t>
  </si>
  <si>
    <t>TUB0202010</t>
  </si>
  <si>
    <t xml:space="preserve">TUBO PULIDO RECT. 3 X 1 1/2 X 1.4 mm X 6,00 mts </t>
  </si>
  <si>
    <t>23.17</t>
  </si>
  <si>
    <t>TUB0202013</t>
  </si>
  <si>
    <t xml:space="preserve">TUBO PULIDO RECT. 3 X 1 1/2 X 1.5 mm X 6,00 mts </t>
  </si>
  <si>
    <t>TUBOS GALVANIZADO</t>
  </si>
  <si>
    <t>24.1</t>
  </si>
  <si>
    <t>TUB0403001</t>
  </si>
  <si>
    <t xml:space="preserve">TUBO GALV.  1/2 X 2,3mm X 5,80 mts  </t>
  </si>
  <si>
    <t>24.2</t>
  </si>
  <si>
    <t>TUB0403002</t>
  </si>
  <si>
    <t>TUBO GALV.  1" X 1,4mm X 3,00 mts EMT (ELECTRICO)</t>
  </si>
  <si>
    <t>24.3</t>
  </si>
  <si>
    <t>TUB0403009</t>
  </si>
  <si>
    <t xml:space="preserve">TUBO GALV. 1 1/4 X 6,60mts EMT PARA CERCA </t>
  </si>
  <si>
    <t>24.4</t>
  </si>
  <si>
    <t>TUB0403005</t>
  </si>
  <si>
    <t xml:space="preserve">TUBO GALV. C/ROSC. 1/2 X 2,3mm X 6,00 mts </t>
  </si>
  <si>
    <t>24.5</t>
  </si>
  <si>
    <t>TUB0403007</t>
  </si>
  <si>
    <t>TUBO GALV. C/ROSC. 3/4 X 6,00 mts ISO 150</t>
  </si>
  <si>
    <t>24.6</t>
  </si>
  <si>
    <t>TUB0403003</t>
  </si>
  <si>
    <t>TUBO GALV. C/ROSC. 1  1/2 x 4mm X 5,90 mts</t>
  </si>
  <si>
    <t>24.7</t>
  </si>
  <si>
    <t>TUB0403004</t>
  </si>
  <si>
    <t xml:space="preserve">TUBO GALV. C/ROSC. 1  1/2 X 4mm X 6,40 mts </t>
  </si>
  <si>
    <t>24.8</t>
  </si>
  <si>
    <t>TUB0403006</t>
  </si>
  <si>
    <t xml:space="preserve">TUBO GALV. C/ROSC. 2  1/4 X 4mm X 6,00 mts </t>
  </si>
  <si>
    <t>24.9</t>
  </si>
  <si>
    <t>TUB0403008</t>
  </si>
  <si>
    <t xml:space="preserve">TUBO GALV. C/ROSC. 4" X 2mm X 3,00 mts </t>
  </si>
  <si>
    <t>TUBOS REDONDO</t>
  </si>
  <si>
    <t>25.1</t>
  </si>
  <si>
    <t>TUBERIA ELECTRICA</t>
  </si>
  <si>
    <t>TUB0103001</t>
  </si>
  <si>
    <t>TUBO REDONDO  8" 5/8 X 13mm X 13 mts</t>
  </si>
  <si>
    <t>TUBOS DE VENTILACION</t>
  </si>
  <si>
    <t>26.1</t>
  </si>
  <si>
    <t>TUB1403001</t>
  </si>
  <si>
    <t xml:space="preserve">TUBO VENT. 1 1/2 X 2,00mm X 6,00 mts </t>
  </si>
  <si>
    <t>26.2</t>
  </si>
  <si>
    <t>TUB1403002</t>
  </si>
  <si>
    <t xml:space="preserve">TUBO VENT. 1 1/2 X 2,60mm X 6,00 mts </t>
  </si>
  <si>
    <t>26.3</t>
  </si>
  <si>
    <t>TUB1403003</t>
  </si>
  <si>
    <t xml:space="preserve">TUBO VENT. 1 1/4 X 2,00mm X 6,00 mts </t>
  </si>
  <si>
    <t>26.4</t>
  </si>
  <si>
    <t>TUB1403008</t>
  </si>
  <si>
    <t xml:space="preserve">TUBO VENT. 1  X 2,00mm X 6,00 mts </t>
  </si>
  <si>
    <t>TUB1403004</t>
  </si>
  <si>
    <t xml:space="preserve">TUBO VENT. 2 X 2,50mm X 6,00 mst </t>
  </si>
  <si>
    <t>26.5</t>
  </si>
  <si>
    <t>TUB1439007</t>
  </si>
  <si>
    <t>TUBO VENT. 2 X 2,50mm X 6,00 mst 2da</t>
  </si>
  <si>
    <t>26.6</t>
  </si>
  <si>
    <t>TUBERIA DE VENTILACION</t>
  </si>
  <si>
    <t>TUB1403005</t>
  </si>
  <si>
    <t xml:space="preserve">TUBO VENT. 3 X 3mm X 6,00 mts </t>
  </si>
  <si>
    <t>26.7</t>
  </si>
  <si>
    <t>TUB1403006</t>
  </si>
  <si>
    <t xml:space="preserve">TUBO VENT. 3 1/2" X 2mm X 6,00 mts </t>
  </si>
  <si>
    <t>TUBOS PVC ELECTRICOS</t>
  </si>
  <si>
    <t>27.1</t>
  </si>
  <si>
    <t>TUBERIA REDONDA S/C</t>
  </si>
  <si>
    <t>TUB0903002</t>
  </si>
  <si>
    <t>TUBO ELEC. 1/2" X 3,00 mts</t>
  </si>
  <si>
    <t>27.2</t>
  </si>
  <si>
    <t>TUB0903003</t>
  </si>
  <si>
    <t>TUBO ELEC. 3/4" X 3,00 mts OCC PLAST</t>
  </si>
  <si>
    <t>27.3</t>
  </si>
  <si>
    <t>TUB0903006</t>
  </si>
  <si>
    <t xml:space="preserve">TUBO ELEC. 1 1/2 X 3,00 mts </t>
  </si>
  <si>
    <t>27.4</t>
  </si>
  <si>
    <t>TUB0903004</t>
  </si>
  <si>
    <t>TUBO ELEC. 1" X 1,52mm X 3 mts</t>
  </si>
  <si>
    <t>27.5</t>
  </si>
  <si>
    <t>TUB0903001</t>
  </si>
  <si>
    <t>TUBO ELEC. 1" X 1,52mm X 3,00 mts *DERIVADOS PLASTICOS</t>
  </si>
  <si>
    <t>27.6</t>
  </si>
  <si>
    <t>TUB0903005</t>
  </si>
  <si>
    <t xml:space="preserve">TUBO ELEC. 1" X 3,00 mts TUBRICA </t>
  </si>
  <si>
    <t>27.7</t>
  </si>
  <si>
    <t>TUB0903007</t>
  </si>
  <si>
    <t>TUBO ELEC. 2" X 3,00 mts UNITECA</t>
  </si>
  <si>
    <t>27.8</t>
  </si>
  <si>
    <t>TUB0903008</t>
  </si>
  <si>
    <t xml:space="preserve">TUBO ELEC. 4" 114,3mm X ESP. 2,26mm x 6,00 mts UNITECA </t>
  </si>
  <si>
    <t>27.9</t>
  </si>
  <si>
    <t>TUB0903009</t>
  </si>
  <si>
    <t xml:space="preserve">TUBO ELEC. 4" 114,0mm X ESP. 3,55mm X 6,00 mts REFORZADO </t>
  </si>
  <si>
    <t>TUBOS PVC AGUA FRIAS</t>
  </si>
  <si>
    <t>28.1</t>
  </si>
  <si>
    <t>TUB0603002</t>
  </si>
  <si>
    <t>TUBO PVC A.F. 1/2 X 3,00 mts GRIS</t>
  </si>
  <si>
    <t>28.2</t>
  </si>
  <si>
    <t>TUB0603003</t>
  </si>
  <si>
    <t xml:space="preserve">TUBO PVC A.F. 1/2 X 6,00 mts  </t>
  </si>
  <si>
    <t>28.3</t>
  </si>
  <si>
    <t>TUB0603009</t>
  </si>
  <si>
    <t>TUBO PVC A.F. 1/2 X 6,00 mts 9.500 PSI REFORZADO</t>
  </si>
  <si>
    <t>28.4</t>
  </si>
  <si>
    <t>TUB0603007</t>
  </si>
  <si>
    <t>TUBO PVC A.F. 3/4 X 2,41mm X 6,00 mts ALTA PRESION *UNITECA *</t>
  </si>
  <si>
    <t>28.5</t>
  </si>
  <si>
    <t>TUB0603008</t>
  </si>
  <si>
    <t>TUBO PVC A.F. 1" X 6,00 mts NACIONAL</t>
  </si>
  <si>
    <t>28.6</t>
  </si>
  <si>
    <t>TUB0603001</t>
  </si>
  <si>
    <t xml:space="preserve">TUBO PVC A.F  1 1/2 X 6,00 mts </t>
  </si>
  <si>
    <t>28.7</t>
  </si>
  <si>
    <t>TUB0603012</t>
  </si>
  <si>
    <t>TUBO PVC A.F. 1 1/2 X 2,84mm  PRS 250 PSI X 6,00 mts   ASTM TUBRICA</t>
  </si>
  <si>
    <t>28.8</t>
  </si>
  <si>
    <t>TUB0603013</t>
  </si>
  <si>
    <t>TUBO PVC A.F. 1 1/2X 3,00mm PRESION 200 PSI X 6,00 mts *TUBRICA</t>
  </si>
  <si>
    <t>28.9</t>
  </si>
  <si>
    <t>TUB0603004</t>
  </si>
  <si>
    <t xml:space="preserve">TUBO PVC A.F. 2" X 6,00 mts </t>
  </si>
  <si>
    <t>28.10</t>
  </si>
  <si>
    <t>TUB0603010</t>
  </si>
  <si>
    <t xml:space="preserve">TUBO PVC A.F. 2" X 6,00 mts IMPORTADO </t>
  </si>
  <si>
    <t>28.11</t>
  </si>
  <si>
    <t>TUB0603006</t>
  </si>
  <si>
    <t>TUBO PVC A.F. 2 1/2 X 3,48mm PRESION 200 PSI X 6,00 mts *TUBRICA</t>
  </si>
  <si>
    <t>28.12</t>
  </si>
  <si>
    <t>TUBERIA  PVC  AGUAS NEGRAS (3 MTS)</t>
  </si>
  <si>
    <t>TUB0603011</t>
  </si>
  <si>
    <t xml:space="preserve">TUBO PVC A.F. 2 1/2"X 3,60mm PRS  150 PSI  X 6,00 mts   ACUEDUCTO CLASE AB  </t>
  </si>
  <si>
    <t>28.13</t>
  </si>
  <si>
    <t>TUB0603005</t>
  </si>
  <si>
    <t>TUBO PVC A.F 3 X 6,00 mts GRIS</t>
  </si>
  <si>
    <t>TUBOS PVC AGUAS NEGRAS</t>
  </si>
  <si>
    <t>29.1</t>
  </si>
  <si>
    <t>TUB0803002</t>
  </si>
  <si>
    <t>TUBO PVC A/N 2" X 1,8 mm x 3,00 mts PAVCO</t>
  </si>
  <si>
    <t>29.2</t>
  </si>
  <si>
    <t>TUB0803003</t>
  </si>
  <si>
    <t>TUBO PVC A/N 2" X 1,8 mm x 3,00 mts SANALITE</t>
  </si>
  <si>
    <t>29.3</t>
  </si>
  <si>
    <t>TUB0803004</t>
  </si>
  <si>
    <t>TUBO PVC A/N 2" X 1,8 mm X 3,00 mts TUBRICA</t>
  </si>
  <si>
    <t>29.4</t>
  </si>
  <si>
    <t>TUB0803006</t>
  </si>
  <si>
    <t>TUBO PVC A/N 2" X 1,8 mm X 3,00 mts UNITECA</t>
  </si>
  <si>
    <t>29.5</t>
  </si>
  <si>
    <t>TUB0803007</t>
  </si>
  <si>
    <t xml:space="preserve">TUBO PVC A/N 2" X 3,00 mts DERIVADOS PLASTICOS </t>
  </si>
  <si>
    <t>29.6</t>
  </si>
  <si>
    <t>TUB0803001</t>
  </si>
  <si>
    <t>TUBO PVC A/N 2" X 3,00 mts DERIVADOS PLASTICOS  2da</t>
  </si>
  <si>
    <t>29.7</t>
  </si>
  <si>
    <t>TUB0803008</t>
  </si>
  <si>
    <t>TUBO PVC A/N 2" X 3,00 mts  OCC PLAST</t>
  </si>
  <si>
    <t>29.8</t>
  </si>
  <si>
    <t>TUB0803005</t>
  </si>
  <si>
    <t>TUBO PVC A/N 2" X 3,9 mm  X 3,00 mts PAVCO REFORZADO</t>
  </si>
  <si>
    <t>29.9</t>
  </si>
  <si>
    <t>TUB0803011</t>
  </si>
  <si>
    <t xml:space="preserve">TUBO PVC A/N 3" X 3,00 mts IMP. CHARLLOTE PIPE </t>
  </si>
  <si>
    <t>29.10</t>
  </si>
  <si>
    <t>TUB0803009</t>
  </si>
  <si>
    <t>TUBO PVC A/N 3" X 3,00 mts  OCC PLAST</t>
  </si>
  <si>
    <t>29.11</t>
  </si>
  <si>
    <t>TUB0803012</t>
  </si>
  <si>
    <t xml:space="preserve">TUBO PVC A/N 3" X 3,00 mts DERIVADOS PLASTICOS </t>
  </si>
  <si>
    <t>29.12</t>
  </si>
  <si>
    <t>TUB0803015</t>
  </si>
  <si>
    <t xml:space="preserve">TUBO PVC A/N 4" X 2,2mm X 3,00 mts (Amarillo) OCC PLAST </t>
  </si>
  <si>
    <t>29.13</t>
  </si>
  <si>
    <t>TUB0803010</t>
  </si>
  <si>
    <t xml:space="preserve">TUBO PVC A/N 4" X 3,00 mts OCC PLAST GRIS </t>
  </si>
  <si>
    <t>29.14</t>
  </si>
  <si>
    <t>TUB0803013</t>
  </si>
  <si>
    <t>TUBO PVC A/N 4" X 2,2 mm X 3,00 mts MACOPLAS Amarrillo Bajo Norma</t>
  </si>
  <si>
    <t>29.15</t>
  </si>
  <si>
    <t>TUB0803016</t>
  </si>
  <si>
    <t>TUBO PVC A/N 4" X 3,2mm X 3,00 mts REFORZADO (NEGRO)</t>
  </si>
  <si>
    <t>29.16</t>
  </si>
  <si>
    <t>TUB0803014</t>
  </si>
  <si>
    <t xml:space="preserve">TUBO PVC A/N 6" X 3,00 mts OCC PLAST    </t>
  </si>
  <si>
    <t>29.17</t>
  </si>
  <si>
    <t>TUB1503001</t>
  </si>
  <si>
    <t>TUBO PVC ALCANT. CORRUGADO 4" X 6,00 mts</t>
  </si>
  <si>
    <t>VIGAS HE</t>
  </si>
  <si>
    <t>30.1</t>
  </si>
  <si>
    <t>VIG0156001</t>
  </si>
  <si>
    <t xml:space="preserve">VIGA HEA 200 X 200 X 12,00 mts </t>
  </si>
  <si>
    <t>30.2</t>
  </si>
  <si>
    <t>VIGAS HEB</t>
  </si>
  <si>
    <t>VIG0105001</t>
  </si>
  <si>
    <t>VIGA HEB 260 X 260 X 13,88 mts</t>
  </si>
  <si>
    <t>30.3</t>
  </si>
  <si>
    <t>VIG0105002</t>
  </si>
  <si>
    <t xml:space="preserve">VIGA HEB 400 X 6,50 mts </t>
  </si>
  <si>
    <t>VIGAS IPE</t>
  </si>
  <si>
    <t>31.1</t>
  </si>
  <si>
    <t>VIGA IPE</t>
  </si>
  <si>
    <t>VIG0106004</t>
  </si>
  <si>
    <t xml:space="preserve">VIGA IPE 80 X 12 mts </t>
  </si>
  <si>
    <t>31.2</t>
  </si>
  <si>
    <t>VIG0106005</t>
  </si>
  <si>
    <t xml:space="preserve">VIGA IPE 100 X 12 mts </t>
  </si>
  <si>
    <t>31.3</t>
  </si>
  <si>
    <t>VIG0106001</t>
  </si>
  <si>
    <t>VIGA IPE 160 X 90 X 5,75 mts</t>
  </si>
  <si>
    <t>31.4</t>
  </si>
  <si>
    <t>VIG0106002</t>
  </si>
  <si>
    <t>VIGA IPE 250 X 130 X 5,75 mts</t>
  </si>
  <si>
    <t>31.5</t>
  </si>
  <si>
    <t>VIG0106003</t>
  </si>
  <si>
    <t>VIGA IPE 400 X 180 X 12 mts</t>
  </si>
  <si>
    <t>31.6</t>
  </si>
  <si>
    <t>VIG0106006</t>
  </si>
  <si>
    <t xml:space="preserve">VIGA IPE 100 X 6 mts </t>
  </si>
  <si>
    <t>VIGAS IPN</t>
  </si>
  <si>
    <t>32.1</t>
  </si>
  <si>
    <t>VIGA IPN</t>
  </si>
  <si>
    <t>VIG0107001</t>
  </si>
  <si>
    <t>VIGA IPN 100 X 2,04 mts</t>
  </si>
  <si>
    <t>32.2</t>
  </si>
  <si>
    <t>VIG0107002</t>
  </si>
  <si>
    <t>VIGA IPN 120 X 12,00 mts</t>
  </si>
  <si>
    <t>32.3</t>
  </si>
  <si>
    <t>VIG0107003</t>
  </si>
  <si>
    <t>VIGA IPN 120 X 4,87 mts</t>
  </si>
  <si>
    <t>32.4</t>
  </si>
  <si>
    <t>VIG0107004</t>
  </si>
  <si>
    <t>VIGA IPN 140 X 4,00 mts</t>
  </si>
  <si>
    <t>32.5</t>
  </si>
  <si>
    <t>VIG0107005</t>
  </si>
  <si>
    <t>VIGA IPN 140 X 5,00 mts</t>
  </si>
  <si>
    <t>32.6</t>
  </si>
  <si>
    <t>VIG0107006</t>
  </si>
  <si>
    <t xml:space="preserve">VIGA IPN 240 X 12,00 mts </t>
  </si>
  <si>
    <t>VIGAS UPL</t>
  </si>
  <si>
    <t>33.1</t>
  </si>
  <si>
    <t>VIG0108002</t>
  </si>
  <si>
    <t>VIGA UPL 80 X 12 mts</t>
  </si>
  <si>
    <t>33.2</t>
  </si>
  <si>
    <t>VIGA UPL</t>
  </si>
  <si>
    <t>VIG0108001</t>
  </si>
  <si>
    <t>VIGA UPL 100 X 12 mts</t>
  </si>
  <si>
    <t>33.3</t>
  </si>
  <si>
    <t>VIG0108003</t>
  </si>
  <si>
    <t xml:space="preserve">VIGA UPL 120 X 12 mts </t>
  </si>
  <si>
    <t>VIGAS VP</t>
  </si>
  <si>
    <t>34.1</t>
  </si>
  <si>
    <t>VIG0109001</t>
  </si>
  <si>
    <t>VIGA VP 350 X 4,10 mts</t>
  </si>
  <si>
    <t>34.2</t>
  </si>
  <si>
    <t>VIG0109002</t>
  </si>
  <si>
    <t>VIGA VP 350 X 7,13,00 mts</t>
  </si>
  <si>
    <t>34.3</t>
  </si>
  <si>
    <t>VIG0109003</t>
  </si>
  <si>
    <t xml:space="preserve">VIGA VP 400 X 4,90 mts </t>
  </si>
  <si>
    <t>34.4</t>
  </si>
  <si>
    <t>VIG0109004</t>
  </si>
  <si>
    <t xml:space="preserve">VIGA VP 400 X 6,90 mts </t>
  </si>
  <si>
    <t>CONEXIONES ADAPTADO</t>
  </si>
  <si>
    <t>CONEXIÓN EMT</t>
  </si>
  <si>
    <t>CON</t>
  </si>
  <si>
    <t>CON0920001</t>
  </si>
  <si>
    <t>ADAPTADOR TERM CONDUIT 1" TUBRICA</t>
  </si>
  <si>
    <t>CONEXIONES ANILLOS</t>
  </si>
  <si>
    <t>36.1</t>
  </si>
  <si>
    <t>CONEXION GALVANIZADA</t>
  </si>
  <si>
    <t>CON0621002</t>
  </si>
  <si>
    <t xml:space="preserve">ANILLO A.F 1/2 </t>
  </si>
  <si>
    <t>36.2</t>
  </si>
  <si>
    <t>CON0621003</t>
  </si>
  <si>
    <t>ANILLO A.F 3/4</t>
  </si>
  <si>
    <t>36.3</t>
  </si>
  <si>
    <t>CON0621001</t>
  </si>
  <si>
    <t>ANILLO A.F 1"</t>
  </si>
  <si>
    <t>36.4</t>
  </si>
  <si>
    <t>CON0821001</t>
  </si>
  <si>
    <t>ANILLO A.N 2" TUBRICA     *</t>
  </si>
  <si>
    <t>36.5</t>
  </si>
  <si>
    <t>CON0821002</t>
  </si>
  <si>
    <t xml:space="preserve">ANILLO A.N 3" </t>
  </si>
  <si>
    <t>36.6</t>
  </si>
  <si>
    <t>CON0421001</t>
  </si>
  <si>
    <t>ANILLO EMT 1"</t>
  </si>
  <si>
    <t>CONEXIONES CODOS</t>
  </si>
  <si>
    <t>37.1</t>
  </si>
  <si>
    <t>CON0622001</t>
  </si>
  <si>
    <t xml:space="preserve">CODO A.F 1/2 X 45 NACIONAL </t>
  </si>
  <si>
    <t>37.2</t>
  </si>
  <si>
    <t>CON0622003</t>
  </si>
  <si>
    <t xml:space="preserve">CODO A.F 1 1/2 X 90 ALTA PRESION TUBRICA </t>
  </si>
  <si>
    <t>37.3</t>
  </si>
  <si>
    <t>CON0822001</t>
  </si>
  <si>
    <t>CODO A.N 2" X 45 TUBRICA</t>
  </si>
  <si>
    <t>37.4</t>
  </si>
  <si>
    <t>CON0822002</t>
  </si>
  <si>
    <t xml:space="preserve">CODO A.N 2" X 90 BETAPLAST </t>
  </si>
  <si>
    <t>37.5</t>
  </si>
  <si>
    <t>CONEXIONES  PVC A.F TUBRICA</t>
  </si>
  <si>
    <t>CON0822003</t>
  </si>
  <si>
    <t xml:space="preserve">CODO A.N 2" X 90 IMPORTADO </t>
  </si>
  <si>
    <t>37.6</t>
  </si>
  <si>
    <t>CON0822004</t>
  </si>
  <si>
    <t>CODO A.N 2" X 90 TUBRICA</t>
  </si>
  <si>
    <t>37.7</t>
  </si>
  <si>
    <t>CON0822005</t>
  </si>
  <si>
    <t>CODO A.N 3" X 45 TUBRICA</t>
  </si>
  <si>
    <t>37.8</t>
  </si>
  <si>
    <t>CON0822006</t>
  </si>
  <si>
    <t>CODO A.N 3" X 90 NACIONAL</t>
  </si>
  <si>
    <t>37.9</t>
  </si>
  <si>
    <t>CON0822007</t>
  </si>
  <si>
    <t>CODO A.N 4" X 45 TUBRICA</t>
  </si>
  <si>
    <t>37.10</t>
  </si>
  <si>
    <t>CON0822008</t>
  </si>
  <si>
    <t>CODO A.N 4" X 90 TUBRICA</t>
  </si>
  <si>
    <t>37.11</t>
  </si>
  <si>
    <t>CON0822009</t>
  </si>
  <si>
    <t>CODO A.N 6" X 45 TUBRICA</t>
  </si>
  <si>
    <t>37.12</t>
  </si>
  <si>
    <t>CON0822010</t>
  </si>
  <si>
    <t xml:space="preserve">CODO A.N 6" X 90 NACIONAL </t>
  </si>
  <si>
    <t>37.13</t>
  </si>
  <si>
    <t>CON0622002</t>
  </si>
  <si>
    <t xml:space="preserve">CODO CPVC 1/2 X 90 NACIONAL </t>
  </si>
  <si>
    <t>37.14</t>
  </si>
  <si>
    <t>CON0422002</t>
  </si>
  <si>
    <t xml:space="preserve">CODO HG 1/2 X 90 </t>
  </si>
  <si>
    <t>37.15</t>
  </si>
  <si>
    <t>CON0422001</t>
  </si>
  <si>
    <t xml:space="preserve">CODO HG 1" X 45 </t>
  </si>
  <si>
    <t>CONEXIONES CURVAS</t>
  </si>
  <si>
    <t>38.1</t>
  </si>
  <si>
    <t>CONEXIONES  PVC TUBRICA</t>
  </si>
  <si>
    <t>CON0923003</t>
  </si>
  <si>
    <t>CURVA CONDUIT 1/2 X 90"</t>
  </si>
  <si>
    <t>38.2</t>
  </si>
  <si>
    <t>CON0923004</t>
  </si>
  <si>
    <t xml:space="preserve">CURVA CONDUIT 1/2" X 90 REFORZADO </t>
  </si>
  <si>
    <t>38.3</t>
  </si>
  <si>
    <t>CON0923007</t>
  </si>
  <si>
    <t>CURVA CONDUIT 3/4" X 90 REFORZADO</t>
  </si>
  <si>
    <t>38.4</t>
  </si>
  <si>
    <t>CON0923002</t>
  </si>
  <si>
    <t xml:space="preserve">CURVA CONDUIT 1" X 90 REFORZADO </t>
  </si>
  <si>
    <t>38.5</t>
  </si>
  <si>
    <t>CON0923001</t>
  </si>
  <si>
    <t>CURVA CONDUIT 1 1/2" X 90 REFORZADO</t>
  </si>
  <si>
    <t>38.6</t>
  </si>
  <si>
    <t>CON0923005</t>
  </si>
  <si>
    <t xml:space="preserve">CURVA CONDUIT 2" X 90 NACIONAL </t>
  </si>
  <si>
    <t>38.7</t>
  </si>
  <si>
    <t>CON0923006</t>
  </si>
  <si>
    <t xml:space="preserve">CURVA CONDUIT 2" X 90 REFORZADO </t>
  </si>
  <si>
    <t>CONEXIONES JUNTAS</t>
  </si>
  <si>
    <t>39.1</t>
  </si>
  <si>
    <t>CON0624002</t>
  </si>
  <si>
    <t>JUNTA DRESSER 1/2</t>
  </si>
  <si>
    <t>39.2</t>
  </si>
  <si>
    <t>CON0624001</t>
  </si>
  <si>
    <t>JUNTA DRESSER 3/4</t>
  </si>
  <si>
    <t>39.3</t>
  </si>
  <si>
    <t>CON0424001</t>
  </si>
  <si>
    <t>JUNTA DRESSER HG 1/2"</t>
  </si>
  <si>
    <t>39.4</t>
  </si>
  <si>
    <t>CON0424002</t>
  </si>
  <si>
    <t>JUNTA DRESSER HG 3/4"</t>
  </si>
  <si>
    <t>CONEXIONES NIPLES</t>
  </si>
  <si>
    <t>40.1</t>
  </si>
  <si>
    <t>CON0425001</t>
  </si>
  <si>
    <t>NIPLE GALV 1/2 X 4 cm</t>
  </si>
  <si>
    <t>40.2</t>
  </si>
  <si>
    <t>CON0425002</t>
  </si>
  <si>
    <t>NIPLE GALV 1/2 X 5 cm</t>
  </si>
  <si>
    <t>40.3</t>
  </si>
  <si>
    <t>CON0425003</t>
  </si>
  <si>
    <t>NIPLE GALV 1/2 X 10 cm</t>
  </si>
  <si>
    <t>CONEXIONES REDUCCIONES</t>
  </si>
  <si>
    <t>41.1</t>
  </si>
  <si>
    <t>CON0826001</t>
  </si>
  <si>
    <t xml:space="preserve">REDUCCION A.N 3 X 2 </t>
  </si>
  <si>
    <t>41.2</t>
  </si>
  <si>
    <t>CON0826002</t>
  </si>
  <si>
    <t>REDUCCION A.N 4 X 2 TUBRICA</t>
  </si>
  <si>
    <t>CONEXIONES SIFONES</t>
  </si>
  <si>
    <t>42.1</t>
  </si>
  <si>
    <t>CON0831001</t>
  </si>
  <si>
    <t>SIFON A.N 2" TUBRICA</t>
  </si>
  <si>
    <t>42.2</t>
  </si>
  <si>
    <t>CON0831002</t>
  </si>
  <si>
    <t>SIFON A.N 4" TUBRICA</t>
  </si>
  <si>
    <t>CONEXIONES TAPONES</t>
  </si>
  <si>
    <t>43.1</t>
  </si>
  <si>
    <t>CON0427001</t>
  </si>
  <si>
    <t>TAPON GALV 1/2 MACHO</t>
  </si>
  <si>
    <t>43.2</t>
  </si>
  <si>
    <t>CON0427002</t>
  </si>
  <si>
    <t>TAPON GALV 1/2 ROSC</t>
  </si>
  <si>
    <t>CONEXIONES TEE</t>
  </si>
  <si>
    <t>44.1</t>
  </si>
  <si>
    <t>CON0828001</t>
  </si>
  <si>
    <t>TEE A.N 2" TUBRICA</t>
  </si>
  <si>
    <t>44.2</t>
  </si>
  <si>
    <t>CON0828002</t>
  </si>
  <si>
    <t>TEE A.N 4" TUBRICA</t>
  </si>
  <si>
    <t>44.3</t>
  </si>
  <si>
    <t>CON0628001</t>
  </si>
  <si>
    <t>TEE A.F 1/2 LISA</t>
  </si>
  <si>
    <t>44.4</t>
  </si>
  <si>
    <t>CON0628002</t>
  </si>
  <si>
    <t>TEE A.F 1/2 ROSC</t>
  </si>
  <si>
    <t>44.5</t>
  </si>
  <si>
    <t>CON0828004</t>
  </si>
  <si>
    <t>TEE RED A.N 4 X 2 TUBRICA</t>
  </si>
  <si>
    <t>44.6</t>
  </si>
  <si>
    <t>CON0828003</t>
  </si>
  <si>
    <t>TEE RED A.N 4 X 3 TUBRICA</t>
  </si>
  <si>
    <t>44.7</t>
  </si>
  <si>
    <t>CON0828005</t>
  </si>
  <si>
    <t>TEE RED A.N 6 X 4 TUBRICA</t>
  </si>
  <si>
    <t>CONEXIONES UNION</t>
  </si>
  <si>
    <t>45.1</t>
  </si>
  <si>
    <t>CON0629001</t>
  </si>
  <si>
    <t>UNION CPVC A.C 1/2</t>
  </si>
  <si>
    <t>45.2</t>
  </si>
  <si>
    <t>CON0929008</t>
  </si>
  <si>
    <t>UNION CONDUIT 1"</t>
  </si>
  <si>
    <t>45.3</t>
  </si>
  <si>
    <t>CURVA CONDUIT  NACIONAL TUBRICA</t>
  </si>
  <si>
    <t>CON0429001</t>
  </si>
  <si>
    <t>UNION EMT 1"</t>
  </si>
  <si>
    <t>45.4</t>
  </si>
  <si>
    <t>CON0629003</t>
  </si>
  <si>
    <t>UNION LISA A.F  1/2" TUBRICA</t>
  </si>
  <si>
    <t>45.5</t>
  </si>
  <si>
    <t>CON0629004</t>
  </si>
  <si>
    <t>UNION LISA A.F  1/2" UNIVERSAL</t>
  </si>
  <si>
    <t>45.6</t>
  </si>
  <si>
    <t>CON0629002</t>
  </si>
  <si>
    <t>UNION LISA A.F  3/4" TUBRICA</t>
  </si>
  <si>
    <t>CONEXIONES YEE</t>
  </si>
  <si>
    <t>46.1</t>
  </si>
  <si>
    <t>CON0830002</t>
  </si>
  <si>
    <t>YEE A.N 4" TUBRICA</t>
  </si>
  <si>
    <t>46.2</t>
  </si>
  <si>
    <t>CON0830003</t>
  </si>
  <si>
    <t xml:space="preserve">YEE A.N 6" NACIONAL </t>
  </si>
  <si>
    <t>46.3</t>
  </si>
  <si>
    <t>CON0830005</t>
  </si>
  <si>
    <t>YEE RED A.N 4" X 2 TUBRICA</t>
  </si>
  <si>
    <t>46.4</t>
  </si>
  <si>
    <t>CON0830004</t>
  </si>
  <si>
    <t>YEE RED A.N 4" X 3 TUBRICA</t>
  </si>
  <si>
    <t>46.5</t>
  </si>
  <si>
    <t>CON0830001</t>
  </si>
  <si>
    <t>YEE RED A.N 6" X 4 TUBRICA</t>
  </si>
  <si>
    <t>ELECTRICIDAD</t>
  </si>
  <si>
    <t>47.1</t>
  </si>
  <si>
    <t xml:space="preserve">CAJA DE MEDIDOR ELECTRICA </t>
  </si>
  <si>
    <t>ELE</t>
  </si>
  <si>
    <t>ELE1603001</t>
  </si>
  <si>
    <t>ARVIDAL 1/0</t>
  </si>
  <si>
    <t>47.2</t>
  </si>
  <si>
    <t xml:space="preserve">CAJA DE PASO ELECTRICA </t>
  </si>
  <si>
    <t>ELE1603002</t>
  </si>
  <si>
    <t>ARVIDAL 2/0</t>
  </si>
  <si>
    <t>47.3</t>
  </si>
  <si>
    <t xml:space="preserve">CAJETIN RECTANGULAR GALVANIZADO </t>
  </si>
  <si>
    <t>ELE1848001</t>
  </si>
  <si>
    <t>BREAKER QO EMPOTRABLE 1 X 20 AMP</t>
  </si>
  <si>
    <t>47.4</t>
  </si>
  <si>
    <t>ELE1847001</t>
  </si>
  <si>
    <t>BREAKER QO SUPERFICIAL 1 X 20 AMP</t>
  </si>
  <si>
    <t>47.5</t>
  </si>
  <si>
    <t>ELE1848002</t>
  </si>
  <si>
    <t>BREAKER THQC EMPOTRABLE 2 X 60 AMP</t>
  </si>
  <si>
    <t>47.6</t>
  </si>
  <si>
    <t xml:space="preserve">ARVIDAL </t>
  </si>
  <si>
    <t>ELE0433001</t>
  </si>
  <si>
    <t xml:space="preserve">CAJA DE MEDIDOR 40 X 30 X 20 </t>
  </si>
  <si>
    <t>47.7</t>
  </si>
  <si>
    <t>ELE0433002</t>
  </si>
  <si>
    <t xml:space="preserve">CAJA DE PASO ELECTRICA 6 X 6 X 6  GALV </t>
  </si>
  <si>
    <t>47.8</t>
  </si>
  <si>
    <t xml:space="preserve">CABLE THW </t>
  </si>
  <si>
    <t>ELE0933001</t>
  </si>
  <si>
    <t xml:space="preserve">CAJA DE PASO ELECTRICA 8 X 8 X 8 PVC </t>
  </si>
  <si>
    <t>47.9</t>
  </si>
  <si>
    <t>ELE0433003</t>
  </si>
  <si>
    <t>CAJETIN 4 X 2 RECTANGULAR EMT</t>
  </si>
  <si>
    <t>47.10</t>
  </si>
  <si>
    <t>ELE0433004</t>
  </si>
  <si>
    <t>CAJETIN 4 X 4 CUADRADO EMT</t>
  </si>
  <si>
    <t>47.11</t>
  </si>
  <si>
    <t>ELE0933002</t>
  </si>
  <si>
    <t>CAJETIN 4 X 4 CUADRADO PVC</t>
  </si>
  <si>
    <t>47.12</t>
  </si>
  <si>
    <t>ELE0433005</t>
  </si>
  <si>
    <t>CAJETIN 4 X 4 OCTAGONAL EMT</t>
  </si>
  <si>
    <t>47.13</t>
  </si>
  <si>
    <t>ELE0933003</t>
  </si>
  <si>
    <t>CAJETIN 4 X 4 OCTAGONAL PVC</t>
  </si>
  <si>
    <t>47.14</t>
  </si>
  <si>
    <t xml:space="preserve">BREAKER </t>
  </si>
  <si>
    <t>ELE0434006</t>
  </si>
  <si>
    <t xml:space="preserve">TABLERO 20 CIRCUITOS </t>
  </si>
  <si>
    <t>47.15</t>
  </si>
  <si>
    <t>ELE0434007</t>
  </si>
  <si>
    <t xml:space="preserve">TAPA PARA TABLERO 20 CIRCUITOS </t>
  </si>
  <si>
    <t>ELECTRICIDAD CABLES</t>
  </si>
  <si>
    <t>48.1</t>
  </si>
  <si>
    <t>ELE1732001</t>
  </si>
  <si>
    <t>CABLE ELECTRICO MCM 500  VERDE IMPORTADO</t>
  </si>
  <si>
    <t>Mts</t>
  </si>
  <si>
    <t>48.2</t>
  </si>
  <si>
    <t>ELE1732002</t>
  </si>
  <si>
    <t xml:space="preserve">CABLE ELECTRICO THW #2  NEGRO IMPORTADO </t>
  </si>
  <si>
    <t>48.3</t>
  </si>
  <si>
    <t>ELE1732003</t>
  </si>
  <si>
    <t xml:space="preserve">CABLE ELECTRICO THW #2 AMARILLO IMPORTADO </t>
  </si>
  <si>
    <t>48.4</t>
  </si>
  <si>
    <t>CAJETIN RECTANGULAR PVC</t>
  </si>
  <si>
    <t>ELE1732004</t>
  </si>
  <si>
    <t xml:space="preserve">CABLE ELECTRICO THW #2 VERDE IMPORTADO </t>
  </si>
  <si>
    <t>48.5</t>
  </si>
  <si>
    <t>ELE1732005</t>
  </si>
  <si>
    <t>CABLE ELECTRICO TTU 250 NEGRO NACIONAL</t>
  </si>
  <si>
    <t>48.6</t>
  </si>
  <si>
    <t>ELE1738001</t>
  </si>
  <si>
    <t xml:space="preserve">ROLLO DE CABLE ELECTRICO THW #4  ROJO NACIONAL </t>
  </si>
  <si>
    <t>48.7</t>
  </si>
  <si>
    <t>ELE1738002</t>
  </si>
  <si>
    <t>ROLLO DE CABLE ELECTRICO THW #4 BLANCO IMPORTADO</t>
  </si>
  <si>
    <t>48.8</t>
  </si>
  <si>
    <t>ELE1738003</t>
  </si>
  <si>
    <t>ROLLO DE CABLE ELECTRICO THW #6 AZUL IMPORTADO 100m</t>
  </si>
  <si>
    <t>48.9</t>
  </si>
  <si>
    <t>ELE1738004</t>
  </si>
  <si>
    <t>ROLLO DE CABLE ELECTRICO THWN #4  BLANCO NACIONAL PHELPSDODGE</t>
  </si>
  <si>
    <t>48.10</t>
  </si>
  <si>
    <t>ELE1738005</t>
  </si>
  <si>
    <t xml:space="preserve">ROLLO DE CABLE ELECTRICO THWN #4 AWG AMARILLO IMPORTADO </t>
  </si>
  <si>
    <t>48.11</t>
  </si>
  <si>
    <t>ELE1738006</t>
  </si>
  <si>
    <t xml:space="preserve">ROLLO DE CABLE ELECTRICO THWN #4 AWG VERDE IMPORTADO </t>
  </si>
  <si>
    <t>FERRETERIA</t>
  </si>
  <si>
    <t>49.1</t>
  </si>
  <si>
    <t xml:space="preserve">TORNILLERIA PARA ESTRUCTURA  GALVANIZADA EN CALIENTE </t>
  </si>
  <si>
    <t>FER</t>
  </si>
  <si>
    <t>FER0137004</t>
  </si>
  <si>
    <t>TOR A325 HEX GALV CALIENTE NC 5/8 X 2" 200 Grs.</t>
  </si>
  <si>
    <t>49.2</t>
  </si>
  <si>
    <t>FER0137003</t>
  </si>
  <si>
    <t>TOR A325 HEX GALV CALIENTE NC 5/8 X 2 1/2 300 Grs.</t>
  </si>
  <si>
    <t>49.3</t>
  </si>
  <si>
    <t>FER0137001</t>
  </si>
  <si>
    <t>TOR A325 HEX GALV CALIENTE NC 1" x 3 1/2 600 Grs.</t>
  </si>
  <si>
    <t>49.4</t>
  </si>
  <si>
    <t>FER0137002</t>
  </si>
  <si>
    <t>TOR A325 HEX GALV CALIENTE NC 1" X 4" 700 Grs.</t>
  </si>
  <si>
    <t>49.5</t>
  </si>
  <si>
    <t>TORNILLO G5</t>
  </si>
  <si>
    <t>FER0137006</t>
  </si>
  <si>
    <t>TOR C. HEX 5/8 X 3"</t>
  </si>
  <si>
    <t>49.6</t>
  </si>
  <si>
    <t>FER0137005</t>
  </si>
  <si>
    <t>TOR C. HEX 1/2 X 2 1/2</t>
  </si>
  <si>
    <t>49.7</t>
  </si>
  <si>
    <t>FER0142002</t>
  </si>
  <si>
    <t xml:space="preserve">CLAVO FERROSO 1" </t>
  </si>
  <si>
    <t>49.8</t>
  </si>
  <si>
    <t>FER0142001</t>
  </si>
  <si>
    <t>CLAVO ACERO 2"</t>
  </si>
  <si>
    <t>49.9</t>
  </si>
  <si>
    <t>REJILLA DE ALUMINIO Y BRONCE</t>
  </si>
  <si>
    <t>FER1652001</t>
  </si>
  <si>
    <t xml:space="preserve">REJILLA A.N 2" ALUMINIO </t>
  </si>
  <si>
    <t>49.10</t>
  </si>
  <si>
    <t>FER0852001</t>
  </si>
  <si>
    <t>REJILLA A.N 4" PVC</t>
  </si>
  <si>
    <t>49.11</t>
  </si>
  <si>
    <t>FER2152001</t>
  </si>
  <si>
    <t>REJILLA A.N 4" BRONCE</t>
  </si>
  <si>
    <t>49.12</t>
  </si>
  <si>
    <t xml:space="preserve">DISCOS </t>
  </si>
  <si>
    <t>FER1003001</t>
  </si>
  <si>
    <t>DISCO DE CORTE 4 1/2</t>
  </si>
  <si>
    <t>49.13</t>
  </si>
  <si>
    <t>FER1003002</t>
  </si>
  <si>
    <t>DISCO DE CORTE 7" X 1/16</t>
  </si>
  <si>
    <t>49.14</t>
  </si>
  <si>
    <t>FER1003003</t>
  </si>
  <si>
    <t>DISCO DE ESMERILAR 4 1/2</t>
  </si>
  <si>
    <t>49.15</t>
  </si>
  <si>
    <t>FER1003004</t>
  </si>
  <si>
    <t>DISCO DE ESMERILAR 7" X 1/16</t>
  </si>
  <si>
    <t>49.16</t>
  </si>
  <si>
    <t>FER1003005</t>
  </si>
  <si>
    <t>DISCO DE TRONZADORA 14"</t>
  </si>
  <si>
    <t>49.17</t>
  </si>
  <si>
    <t xml:space="preserve">ACCESORIOS </t>
  </si>
  <si>
    <t>FER1050001</t>
  </si>
  <si>
    <t>ARNES ANTI-CAIDAS</t>
  </si>
  <si>
    <t>49.18</t>
  </si>
  <si>
    <t xml:space="preserve">ELECTRODOS </t>
  </si>
  <si>
    <t>FER1051003</t>
  </si>
  <si>
    <t>ELECTRODO 6013 1/8 KEEP DRY</t>
  </si>
  <si>
    <t>49.19</t>
  </si>
  <si>
    <t>FER1051001</t>
  </si>
  <si>
    <t>ELECTRODO 7018 1/8 GRICON</t>
  </si>
  <si>
    <t>49.20</t>
  </si>
  <si>
    <t>FER1051002</t>
  </si>
  <si>
    <t>ELECTRODO 532 7 1/8 GRICON</t>
  </si>
  <si>
    <t>49.21</t>
  </si>
  <si>
    <t xml:space="preserve">PEGA PVC </t>
  </si>
  <si>
    <t>FER2052001</t>
  </si>
  <si>
    <t>PEGA PROF. PARA PVC  DE ALTA PRESION ERA G-GOOD 946 ML A.C</t>
  </si>
  <si>
    <t>49.22</t>
  </si>
  <si>
    <t>FER2052002</t>
  </si>
  <si>
    <t>PEGA PROF. PARA PVC CEMENTO  SENCL SOLUTION 1000 ML A.F</t>
  </si>
  <si>
    <t>49.23</t>
  </si>
  <si>
    <t>KIT DE CERRADURA DE EMBUTIR (CILINDRO , MANILLA)</t>
  </si>
  <si>
    <t>FER2249001</t>
  </si>
  <si>
    <t>49.24</t>
  </si>
  <si>
    <t>KIT DE FREGADERO</t>
  </si>
  <si>
    <t>FER2249002</t>
  </si>
  <si>
    <t>KIT DE FREGADERO (1 FREGADERO DOBLE, 1 BAJANTE DOBLE, 2 DESAGUE, 2 LLAVE ARRESTO, 5 SARGENTO PEQ 1 GRIFERIA)</t>
  </si>
  <si>
    <t>Kit</t>
  </si>
  <si>
    <t>NIKI</t>
  </si>
  <si>
    <t>02-zelle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</si>
</sst>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dd/mm/yyyy;@"/>
    <numFmt numFmtId="165" formatCode="00"/>
    <numFmt numFmtId="166" formatCode="000"/>
    <numFmt numFmtId="167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sz val="11"/>
      <name val="Calibri"/>
      <scheme val="minor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42">
    <xf numFmtId="0" fontId="0" fillId="0" borderId="0" xfId="0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164" fontId="3" fillId="0" borderId="0" xfId="0" applyNumberFormat="1" applyFont="1"/>
    <xf numFmtId="43" fontId="0" fillId="0" borderId="0" xfId="1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4" fontId="2" fillId="0" borderId="2" xfId="2" applyNumberFormat="1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43" fontId="0" fillId="0" borderId="2" xfId="1" applyFont="1" applyFill="1" applyBorder="1" applyAlignment="1">
      <alignment horizontal="center" vertical="center"/>
    </xf>
    <xf numFmtId="43" fontId="0" fillId="0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0" fillId="3" borderId="5" xfId="2" applyFont="1" applyFill="1" applyBorder="1" applyAlignment="1">
      <alignment horizontal="left" vertical="center"/>
    </xf>
    <xf numFmtId="0" fontId="0" fillId="2" borderId="5" xfId="2" applyFont="1" applyFill="1" applyBorder="1" applyAlignment="1">
      <alignment horizontal="left" vertical="center"/>
    </xf>
    <xf numFmtId="0" fontId="0" fillId="2" borderId="5" xfId="2" applyFont="1" applyFill="1" applyBorder="1" applyAlignment="1">
      <alignment horizontal="center" vertical="center"/>
    </xf>
    <xf numFmtId="165" fontId="7" fillId="2" borderId="5" xfId="2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center" vertical="center"/>
    </xf>
    <xf numFmtId="4" fontId="9" fillId="2" borderId="5" xfId="2" applyNumberFormat="1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/>
    </xf>
    <xf numFmtId="43" fontId="0" fillId="2" borderId="5" xfId="1" applyFont="1" applyFill="1" applyBorder="1" applyAlignment="1">
      <alignment horizontal="center" vertical="center"/>
    </xf>
    <xf numFmtId="43" fontId="0" fillId="0" borderId="5" xfId="1" applyFont="1" applyFill="1" applyBorder="1"/>
    <xf numFmtId="43" fontId="0" fillId="0" borderId="6" xfId="1" applyFont="1" applyFill="1" applyBorder="1"/>
    <xf numFmtId="16" fontId="10" fillId="0" borderId="4" xfId="2" applyNumberFormat="1" applyFont="1" applyBorder="1" applyAlignment="1">
      <alignment horizontal="center" vertical="center"/>
    </xf>
    <xf numFmtId="0" fontId="0" fillId="0" borderId="5" xfId="2" applyFont="1" applyBorder="1" applyAlignment="1">
      <alignment horizontal="left" vertical="center"/>
    </xf>
    <xf numFmtId="165" fontId="0" fillId="0" borderId="5" xfId="2" applyNumberFormat="1" applyFont="1" applyBorder="1" applyAlignment="1">
      <alignment horizontal="center" vertical="center"/>
    </xf>
    <xf numFmtId="166" fontId="0" fillId="0" borderId="5" xfId="2" applyNumberFormat="1" applyFont="1" applyBorder="1" applyAlignment="1">
      <alignment horizontal="center" vertical="center"/>
    </xf>
    <xf numFmtId="165" fontId="3" fillId="0" borderId="5" xfId="2" applyNumberFormat="1" applyFont="1" applyBorder="1" applyAlignment="1">
      <alignment horizontal="left" vertical="center"/>
    </xf>
    <xf numFmtId="0" fontId="10" fillId="0" borderId="5" xfId="2" applyFont="1" applyBorder="1" applyAlignment="1">
      <alignment horizontal="left" vertical="center"/>
    </xf>
    <xf numFmtId="3" fontId="10" fillId="0" borderId="5" xfId="2" applyNumberFormat="1" applyFont="1" applyBorder="1" applyAlignment="1">
      <alignment horizontal="center" vertical="center"/>
    </xf>
    <xf numFmtId="4" fontId="11" fillId="0" borderId="5" xfId="2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/>
    </xf>
    <xf numFmtId="3" fontId="12" fillId="0" borderId="5" xfId="0" applyNumberFormat="1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0" fillId="0" borderId="5" xfId="0" applyBorder="1"/>
    <xf numFmtId="3" fontId="3" fillId="0" borderId="5" xfId="0" applyNumberFormat="1" applyFont="1" applyFill="1" applyBorder="1" applyAlignment="1">
      <alignment horizontal="center"/>
    </xf>
    <xf numFmtId="14" fontId="0" fillId="0" borderId="5" xfId="0" applyNumberFormat="1" applyBorder="1"/>
    <xf numFmtId="0" fontId="10" fillId="0" borderId="4" xfId="2" applyNumberFormat="1" applyFont="1" applyFill="1" applyBorder="1" applyAlignment="1">
      <alignment horizontal="center" vertical="center"/>
    </xf>
    <xf numFmtId="0" fontId="1" fillId="0" borderId="5" xfId="2" applyFont="1" applyFill="1" applyBorder="1" applyAlignment="1">
      <alignment horizontal="left" vertical="center"/>
    </xf>
    <xf numFmtId="165" fontId="1" fillId="0" borderId="5" xfId="2" applyNumberFormat="1" applyFont="1" applyFill="1" applyBorder="1" applyAlignment="1">
      <alignment horizontal="center" vertical="center"/>
    </xf>
    <xf numFmtId="166" fontId="1" fillId="0" borderId="5" xfId="2" applyNumberFormat="1" applyFont="1" applyFill="1" applyBorder="1" applyAlignment="1">
      <alignment horizontal="center" vertical="center"/>
    </xf>
    <xf numFmtId="3" fontId="10" fillId="0" borderId="5" xfId="2" applyNumberFormat="1" applyFont="1" applyFill="1" applyBorder="1" applyAlignment="1">
      <alignment horizontal="center" vertical="center"/>
    </xf>
    <xf numFmtId="0" fontId="10" fillId="0" borderId="5" xfId="2" applyFont="1" applyFill="1" applyBorder="1" applyAlignment="1">
      <alignment horizontal="center" vertical="center"/>
    </xf>
    <xf numFmtId="4" fontId="11" fillId="0" borderId="5" xfId="2" applyNumberFormat="1" applyFont="1" applyFill="1" applyBorder="1" applyAlignment="1">
      <alignment horizontal="center" vertical="center"/>
    </xf>
    <xf numFmtId="0" fontId="1" fillId="0" borderId="5" xfId="2" applyFont="1" applyFill="1" applyBorder="1" applyAlignment="1">
      <alignment horizontal="center" vertical="center"/>
    </xf>
    <xf numFmtId="3" fontId="3" fillId="0" borderId="5" xfId="2" applyNumberFormat="1" applyFont="1" applyFill="1" applyBorder="1" applyAlignment="1">
      <alignment horizontal="center"/>
    </xf>
    <xf numFmtId="0" fontId="0" fillId="0" borderId="5" xfId="2" applyFont="1" applyFill="1" applyBorder="1" applyAlignment="1">
      <alignment horizontal="left" vertical="center"/>
    </xf>
    <xf numFmtId="165" fontId="0" fillId="0" borderId="5" xfId="2" applyNumberFormat="1" applyFont="1" applyFill="1" applyBorder="1" applyAlignment="1">
      <alignment horizontal="center" vertical="center"/>
    </xf>
    <xf numFmtId="166" fontId="0" fillId="0" borderId="5" xfId="2" applyNumberFormat="1" applyFont="1" applyFill="1" applyBorder="1" applyAlignment="1">
      <alignment horizontal="center" vertical="center"/>
    </xf>
    <xf numFmtId="165" fontId="3" fillId="0" borderId="5" xfId="2" applyNumberFormat="1" applyFont="1" applyFill="1" applyBorder="1" applyAlignment="1">
      <alignment horizontal="left" vertical="center"/>
    </xf>
    <xf numFmtId="0" fontId="10" fillId="0" borderId="5" xfId="2" applyFont="1" applyFill="1" applyBorder="1" applyAlignment="1">
      <alignment horizontal="left" vertical="center"/>
    </xf>
    <xf numFmtId="43" fontId="0" fillId="0" borderId="5" xfId="1" applyNumberFormat="1" applyFont="1" applyFill="1" applyBorder="1"/>
    <xf numFmtId="43" fontId="0" fillId="0" borderId="6" xfId="1" applyNumberFormat="1" applyFont="1" applyFill="1" applyBorder="1"/>
    <xf numFmtId="14" fontId="0" fillId="0" borderId="5" xfId="0" applyNumberFormat="1" applyFont="1" applyFill="1" applyBorder="1"/>
    <xf numFmtId="0" fontId="0" fillId="0" borderId="5" xfId="0" applyFont="1" applyFill="1" applyBorder="1"/>
    <xf numFmtId="0" fontId="1" fillId="0" borderId="5" xfId="0" applyFont="1" applyFill="1" applyBorder="1"/>
    <xf numFmtId="43" fontId="1" fillId="0" borderId="5" xfId="1" applyNumberFormat="1" applyFont="1" applyFill="1" applyBorder="1"/>
    <xf numFmtId="43" fontId="1" fillId="0" borderId="5" xfId="1" applyFont="1" applyFill="1" applyBorder="1"/>
    <xf numFmtId="43" fontId="1" fillId="0" borderId="6" xfId="1" applyNumberFormat="1" applyFont="1" applyFill="1" applyBorder="1"/>
    <xf numFmtId="165" fontId="12" fillId="0" borderId="5" xfId="2" applyNumberFormat="1" applyFont="1" applyFill="1" applyBorder="1" applyAlignment="1">
      <alignment horizontal="left" vertical="center"/>
    </xf>
    <xf numFmtId="43" fontId="1" fillId="0" borderId="6" xfId="1" applyFont="1" applyFill="1" applyBorder="1"/>
    <xf numFmtId="166" fontId="4" fillId="3" borderId="5" xfId="2" applyNumberFormat="1" applyFont="1" applyFill="1" applyBorder="1" applyAlignment="1">
      <alignment horizontal="center" vertical="center"/>
    </xf>
    <xf numFmtId="0" fontId="0" fillId="0" borderId="5" xfId="2" applyFont="1" applyFill="1" applyBorder="1" applyAlignment="1">
      <alignment horizontal="center" vertical="center"/>
    </xf>
    <xf numFmtId="43" fontId="0" fillId="0" borderId="5" xfId="1" applyNumberFormat="1" applyFont="1" applyFill="1" applyBorder="1" applyAlignment="1">
      <alignment horizontal="center" vertical="center"/>
    </xf>
    <xf numFmtId="165" fontId="3" fillId="0" borderId="7" xfId="2" applyNumberFormat="1" applyFont="1" applyBorder="1" applyAlignment="1">
      <alignment horizontal="left" vertical="center"/>
    </xf>
    <xf numFmtId="0" fontId="0" fillId="0" borderId="7" xfId="2" applyFont="1" applyBorder="1" applyAlignment="1">
      <alignment horizontal="left" vertical="center"/>
    </xf>
    <xf numFmtId="165" fontId="0" fillId="0" borderId="7" xfId="2" applyNumberFormat="1" applyFont="1" applyBorder="1" applyAlignment="1">
      <alignment horizontal="center" vertical="center"/>
    </xf>
    <xf numFmtId="166" fontId="0" fillId="0" borderId="7" xfId="2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left" vertical="center"/>
    </xf>
    <xf numFmtId="3" fontId="10" fillId="0" borderId="7" xfId="2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4" fontId="11" fillId="0" borderId="7" xfId="2" applyNumberFormat="1" applyFont="1" applyBorder="1" applyAlignment="1">
      <alignment horizontal="center" vertical="center"/>
    </xf>
    <xf numFmtId="0" fontId="0" fillId="0" borderId="7" xfId="0" applyBorder="1"/>
    <xf numFmtId="3" fontId="3" fillId="0" borderId="7" xfId="0" applyNumberFormat="1" applyFont="1" applyBorder="1" applyAlignment="1">
      <alignment horizontal="center"/>
    </xf>
    <xf numFmtId="3" fontId="3" fillId="0" borderId="7" xfId="0" applyNumberFormat="1" applyFont="1" applyFill="1" applyBorder="1" applyAlignment="1">
      <alignment horizontal="center"/>
    </xf>
    <xf numFmtId="43" fontId="0" fillId="0" borderId="7" xfId="1" applyFont="1" applyFill="1" applyBorder="1"/>
    <xf numFmtId="43" fontId="0" fillId="0" borderId="8" xfId="1" applyFont="1" applyFill="1" applyBorder="1"/>
    <xf numFmtId="0" fontId="0" fillId="0" borderId="5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5" xfId="2" applyFont="1" applyFill="1" applyBorder="1" applyAlignment="1">
      <alignment horizontal="center" vertical="center"/>
    </xf>
    <xf numFmtId="0" fontId="0" fillId="0" borderId="5" xfId="0" applyFill="1" applyBorder="1"/>
    <xf numFmtId="3" fontId="3" fillId="4" borderId="5" xfId="0" applyNumberFormat="1" applyFont="1" applyFill="1" applyBorder="1" applyAlignment="1">
      <alignment horizontal="center"/>
    </xf>
    <xf numFmtId="3" fontId="3" fillId="5" borderId="5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15" fillId="0" borderId="4" xfId="2" applyNumberFormat="1" applyFont="1" applyFill="1" applyBorder="1" applyAlignment="1">
      <alignment horizontal="center" vertical="center"/>
    </xf>
    <xf numFmtId="0" fontId="16" fillId="0" borderId="5" xfId="2" applyFont="1" applyFill="1" applyBorder="1" applyAlignment="1">
      <alignment horizontal="left" vertical="center"/>
    </xf>
    <xf numFmtId="165" fontId="16" fillId="0" borderId="5" xfId="2" applyNumberFormat="1" applyFont="1" applyFill="1" applyBorder="1" applyAlignment="1">
      <alignment horizontal="center" vertical="center"/>
    </xf>
    <xf numFmtId="166" fontId="16" fillId="0" borderId="5" xfId="2" applyNumberFormat="1" applyFont="1" applyFill="1" applyBorder="1" applyAlignment="1">
      <alignment horizontal="center" vertical="center"/>
    </xf>
    <xf numFmtId="165" fontId="17" fillId="0" borderId="5" xfId="2" applyNumberFormat="1" applyFont="1" applyFill="1" applyBorder="1" applyAlignment="1">
      <alignment horizontal="left" vertical="center"/>
    </xf>
    <xf numFmtId="0" fontId="15" fillId="0" borderId="5" xfId="2" applyFont="1" applyFill="1" applyBorder="1" applyAlignment="1">
      <alignment horizontal="left" vertical="center"/>
    </xf>
    <xf numFmtId="3" fontId="15" fillId="0" borderId="5" xfId="2" applyNumberFormat="1" applyFont="1" applyFill="1" applyBorder="1" applyAlignment="1">
      <alignment horizontal="center" vertical="center"/>
    </xf>
    <xf numFmtId="0" fontId="15" fillId="0" borderId="5" xfId="2" applyFont="1" applyFill="1" applyBorder="1" applyAlignment="1">
      <alignment horizontal="center" vertical="center"/>
    </xf>
    <xf numFmtId="4" fontId="18" fillId="0" borderId="5" xfId="2" applyNumberFormat="1" applyFont="1" applyFill="1" applyBorder="1" applyAlignment="1">
      <alignment horizontal="center" vertical="center"/>
    </xf>
    <xf numFmtId="0" fontId="16" fillId="0" borderId="5" xfId="2" applyFont="1" applyFill="1" applyBorder="1" applyAlignment="1">
      <alignment horizontal="center" vertical="center"/>
    </xf>
    <xf numFmtId="3" fontId="17" fillId="0" borderId="5" xfId="2" applyNumberFormat="1" applyFont="1" applyFill="1" applyBorder="1" applyAlignment="1">
      <alignment horizontal="center"/>
    </xf>
    <xf numFmtId="3" fontId="19" fillId="0" borderId="5" xfId="0" applyNumberFormat="1" applyFont="1" applyFill="1" applyBorder="1" applyAlignment="1">
      <alignment horizontal="center"/>
    </xf>
    <xf numFmtId="43" fontId="16" fillId="0" borderId="5" xfId="1" applyNumberFormat="1" applyFont="1" applyFill="1" applyBorder="1" applyAlignment="1">
      <alignment horizontal="center" vertical="center"/>
    </xf>
    <xf numFmtId="43" fontId="16" fillId="0" borderId="5" xfId="1" applyFont="1" applyFill="1" applyBorder="1"/>
    <xf numFmtId="43" fontId="16" fillId="0" borderId="6" xfId="1" applyNumberFormat="1" applyFont="1" applyFill="1" applyBorder="1"/>
    <xf numFmtId="0" fontId="16" fillId="0" borderId="5" xfId="0" applyFont="1" applyFill="1" applyBorder="1"/>
    <xf numFmtId="3" fontId="17" fillId="0" borderId="5" xfId="0" applyNumberFormat="1" applyFont="1" applyFill="1" applyBorder="1" applyAlignment="1">
      <alignment horizontal="center"/>
    </xf>
    <xf numFmtId="43" fontId="16" fillId="0" borderId="5" xfId="1" applyNumberFormat="1" applyFont="1" applyFill="1" applyBorder="1"/>
    <xf numFmtId="3" fontId="14" fillId="0" borderId="5" xfId="2" applyNumberFormat="1" applyFont="1" applyBorder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43" fontId="0" fillId="0" borderId="0" xfId="1" applyFont="1" applyFill="1"/>
    <xf numFmtId="43" fontId="0" fillId="0" borderId="9" xfId="1" applyFont="1" applyFill="1" applyBorder="1"/>
    <xf numFmtId="43" fontId="0" fillId="0" borderId="0" xfId="1" applyFont="1" applyFill="1" applyBorder="1"/>
    <xf numFmtId="167" fontId="3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3" fontId="10" fillId="0" borderId="5" xfId="0" applyNumberFormat="1" applyFont="1" applyBorder="1" applyAlignment="1">
      <alignment horizontal="center" vertical="center"/>
    </xf>
    <xf numFmtId="4" fontId="11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7" fontId="3" fillId="0" borderId="5" xfId="0" applyNumberFormat="1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3" fontId="10" fillId="0" borderId="5" xfId="0" applyNumberFormat="1" applyFont="1" applyFill="1" applyBorder="1" applyAlignment="1">
      <alignment horizontal="center" vertical="center"/>
    </xf>
    <xf numFmtId="4" fontId="11" fillId="0" borderId="5" xfId="0" applyNumberFormat="1" applyFont="1" applyFill="1" applyBorder="1" applyAlignment="1">
      <alignment horizontal="center" vertical="center"/>
    </xf>
    <xf numFmtId="165" fontId="20" fillId="0" borderId="10" xfId="2" applyNumberFormat="1" applyFont="1" applyBorder="1" applyAlignment="1">
      <alignment horizontal="left" vertical="center"/>
    </xf>
    <xf numFmtId="0" fontId="10" fillId="0" borderId="11" xfId="2" applyNumberFormat="1" applyFont="1" applyFill="1" applyBorder="1" applyAlignment="1">
      <alignment horizontal="center" vertical="center"/>
    </xf>
    <xf numFmtId="0" fontId="0" fillId="0" borderId="7" xfId="2" applyFont="1" applyFill="1" applyBorder="1" applyAlignment="1">
      <alignment horizontal="left" vertical="center"/>
    </xf>
    <xf numFmtId="165" fontId="0" fillId="0" borderId="7" xfId="2" applyNumberFormat="1" applyFont="1" applyFill="1" applyBorder="1" applyAlignment="1">
      <alignment horizontal="center" vertical="center"/>
    </xf>
    <xf numFmtId="166" fontId="0" fillId="0" borderId="7" xfId="2" applyNumberFormat="1" applyFont="1" applyFill="1" applyBorder="1" applyAlignment="1">
      <alignment horizontal="center" vertical="center"/>
    </xf>
    <xf numFmtId="165" fontId="3" fillId="0" borderId="7" xfId="2" applyNumberFormat="1" applyFont="1" applyFill="1" applyBorder="1" applyAlignment="1">
      <alignment horizontal="left" vertical="center"/>
    </xf>
    <xf numFmtId="0" fontId="10" fillId="0" borderId="7" xfId="2" applyFont="1" applyFill="1" applyBorder="1" applyAlignment="1">
      <alignment horizontal="left" vertical="center"/>
    </xf>
    <xf numFmtId="3" fontId="10" fillId="0" borderId="7" xfId="2" applyNumberFormat="1" applyFont="1" applyFill="1" applyBorder="1" applyAlignment="1">
      <alignment horizontal="center" vertical="center"/>
    </xf>
    <xf numFmtId="0" fontId="10" fillId="0" borderId="7" xfId="2" applyFont="1" applyFill="1" applyBorder="1" applyAlignment="1">
      <alignment horizontal="center" vertical="center"/>
    </xf>
    <xf numFmtId="4" fontId="11" fillId="0" borderId="7" xfId="2" applyNumberFormat="1" applyFont="1" applyFill="1" applyBorder="1" applyAlignment="1">
      <alignment horizontal="center" vertical="center"/>
    </xf>
    <xf numFmtId="0" fontId="0" fillId="0" borderId="7" xfId="0" applyFont="1" applyFill="1" applyBorder="1"/>
    <xf numFmtId="43" fontId="0" fillId="0" borderId="7" xfId="1" applyNumberFormat="1" applyFont="1" applyFill="1" applyBorder="1"/>
    <xf numFmtId="43" fontId="0" fillId="0" borderId="8" xfId="1" applyNumberFormat="1" applyFont="1" applyFill="1" applyBorder="1"/>
    <xf numFmtId="0" fontId="0" fillId="0" borderId="0" xfId="0" applyFill="1"/>
    <xf numFmtId="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3">
    <cellStyle name="Millares" xfId="1" builtinId="3"/>
    <cellStyle name="Normal" xfId="0" builtinId="0"/>
    <cellStyle name="Normal 2" xfId="2"/>
  </cellStyles>
  <dxfs count="324"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429356</xdr:colOff>
      <xdr:row>0</xdr:row>
      <xdr:rowOff>0</xdr:rowOff>
    </xdr:from>
    <xdr:to>
      <xdr:col>11</xdr:col>
      <xdr:colOff>548065</xdr:colOff>
      <xdr:row>10</xdr:row>
      <xdr:rowOff>141909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356" y="0"/>
          <a:ext cx="6932259" cy="19834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A%20DE%20PRECIOS%2026-02-26%20MODIFIC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DE PRECIO"/>
      <sheetName val="ESTRUCTURA"/>
      <sheetName val="INVENTARIO"/>
      <sheetName val="MOVIMIENTO"/>
      <sheetName val="INVENTARIO REAL"/>
      <sheetName val="HOJA INV"/>
      <sheetName val="SOLO PRECIOS 2"/>
      <sheetName val="VENDEDOR EXTERNO"/>
    </sheetNames>
    <sheetDataSet>
      <sheetData sheetId="0"/>
      <sheetData sheetId="1"/>
      <sheetData sheetId="2"/>
      <sheetData sheetId="3">
        <row r="42">
          <cell r="D42" t="str">
            <v>FER1003001</v>
          </cell>
          <cell r="E42" t="str">
            <v>DISCO DE CORTE 4 1/2</v>
          </cell>
          <cell r="G42">
            <v>100</v>
          </cell>
          <cell r="H42">
            <v>0.43</v>
          </cell>
          <cell r="I42">
            <v>100</v>
          </cell>
          <cell r="J42">
            <v>0.65</v>
          </cell>
          <cell r="K42">
            <v>35</v>
          </cell>
          <cell r="L42">
            <v>0.66153846153846152</v>
          </cell>
        </row>
        <row r="43">
          <cell r="D43" t="str">
            <v>FER1003002</v>
          </cell>
          <cell r="E43" t="str">
            <v>DISCO DE CORTE 7" X 1/16</v>
          </cell>
          <cell r="G43">
            <v>100</v>
          </cell>
          <cell r="H43">
            <v>0.93075362318840582</v>
          </cell>
          <cell r="I43">
            <v>100</v>
          </cell>
          <cell r="J43">
            <v>0.65</v>
          </cell>
          <cell r="K43">
            <v>35</v>
          </cell>
          <cell r="L43">
            <v>1.4319286510590858</v>
          </cell>
        </row>
        <row r="44">
          <cell r="D44" t="str">
            <v>CEM1045001</v>
          </cell>
          <cell r="E44" t="str">
            <v>CEMENTO GRIS ENSACADO</v>
          </cell>
          <cell r="F44">
            <v>500</v>
          </cell>
          <cell r="I44">
            <v>100</v>
          </cell>
          <cell r="J44">
            <v>1</v>
          </cell>
          <cell r="L44">
            <v>0</v>
          </cell>
        </row>
        <row r="45">
          <cell r="D45" t="str">
            <v>CAB0114007</v>
          </cell>
          <cell r="E45" t="str">
            <v>CABILLA ESTRIADA 1/2 X 6,00 mts  SIDETUR</v>
          </cell>
          <cell r="F45">
            <v>200</v>
          </cell>
          <cell r="I45">
            <v>100</v>
          </cell>
          <cell r="J45">
            <v>1</v>
          </cell>
          <cell r="L45">
            <v>0</v>
          </cell>
        </row>
        <row r="46">
          <cell r="D46" t="str">
            <v>CER0100001</v>
          </cell>
          <cell r="E46" t="str">
            <v>CERCHAS 10mm X 6 mts</v>
          </cell>
          <cell r="F46">
            <v>25</v>
          </cell>
          <cell r="I46">
            <v>100</v>
          </cell>
          <cell r="J46">
            <v>1</v>
          </cell>
          <cell r="L46">
            <v>0</v>
          </cell>
        </row>
        <row r="47">
          <cell r="D47" t="str">
            <v>CER0100002</v>
          </cell>
          <cell r="E47" t="str">
            <v>CERCHAS 15mm X 6 mts</v>
          </cell>
          <cell r="F47">
            <v>25</v>
          </cell>
          <cell r="I47">
            <v>100</v>
          </cell>
          <cell r="J47">
            <v>1</v>
          </cell>
          <cell r="L47">
            <v>0</v>
          </cell>
        </row>
        <row r="48">
          <cell r="D48" t="str">
            <v>TUB0202005</v>
          </cell>
          <cell r="E48" t="str">
            <v xml:space="preserve">TUBO PULIDO RECT. 2 X 1 X 0,90 mm X 6,00 mts </v>
          </cell>
          <cell r="F48">
            <v>50</v>
          </cell>
          <cell r="I48">
            <v>100</v>
          </cell>
          <cell r="J48">
            <v>1</v>
          </cell>
          <cell r="L48">
            <v>0</v>
          </cell>
        </row>
        <row r="49">
          <cell r="D49" t="str">
            <v>PER0143001</v>
          </cell>
          <cell r="E49" t="str">
            <v xml:space="preserve">PERFIL PARA MARCOS DE PUERTAS 10 X 5,80  mts </v>
          </cell>
          <cell r="F49">
            <v>100</v>
          </cell>
          <cell r="I49">
            <v>100</v>
          </cell>
          <cell r="J49">
            <v>1</v>
          </cell>
          <cell r="L49">
            <v>0</v>
          </cell>
        </row>
        <row r="50">
          <cell r="D50" t="str">
            <v>PER0112003</v>
          </cell>
          <cell r="E50" t="str">
            <v>PLETINA 1 X 1/8 X 6,00 mts</v>
          </cell>
          <cell r="F50">
            <v>22</v>
          </cell>
          <cell r="I50">
            <v>100</v>
          </cell>
          <cell r="J50">
            <v>1</v>
          </cell>
          <cell r="L50">
            <v>0</v>
          </cell>
        </row>
        <row r="51">
          <cell r="D51" t="str">
            <v>PER0112004</v>
          </cell>
          <cell r="E51" t="str">
            <v>PLETINA 1/2 X 6,00 mts</v>
          </cell>
          <cell r="F51">
            <v>16</v>
          </cell>
          <cell r="I51">
            <v>100</v>
          </cell>
          <cell r="J51">
            <v>1</v>
          </cell>
          <cell r="L51">
            <v>0</v>
          </cell>
        </row>
        <row r="52">
          <cell r="D52" t="str">
            <v>BAR0103001</v>
          </cell>
          <cell r="E52" t="str">
            <v xml:space="preserve">BARRA REDONDA LISA 10mm X 6,00 mts </v>
          </cell>
          <cell r="F52">
            <v>90</v>
          </cell>
          <cell r="I52">
            <v>100</v>
          </cell>
          <cell r="J52">
            <v>1</v>
          </cell>
          <cell r="L52">
            <v>0</v>
          </cell>
        </row>
        <row r="53">
          <cell r="D53" t="str">
            <v>TUB0202004</v>
          </cell>
          <cell r="E53" t="str">
            <v xml:space="preserve">TUBO PULIDO RECT. 2 X 1 X 0,70 mm X 6,00 mts </v>
          </cell>
          <cell r="F53">
            <v>9</v>
          </cell>
          <cell r="I53">
            <v>100</v>
          </cell>
          <cell r="J53">
            <v>1</v>
          </cell>
          <cell r="L53">
            <v>0</v>
          </cell>
        </row>
        <row r="54">
          <cell r="D54" t="str">
            <v>ELE0433001</v>
          </cell>
          <cell r="E54" t="str">
            <v xml:space="preserve">CAJA DE MEDIDOR 40 X 30 X 20 </v>
          </cell>
          <cell r="F54">
            <v>1</v>
          </cell>
          <cell r="I54">
            <v>100</v>
          </cell>
          <cell r="J54">
            <v>1</v>
          </cell>
          <cell r="L54">
            <v>0</v>
          </cell>
        </row>
        <row r="55">
          <cell r="D55" t="str">
            <v>ELE1732004</v>
          </cell>
          <cell r="E55" t="str">
            <v xml:space="preserve">CABLE ELECTRICO THW #2 VERDE IMPORTADO </v>
          </cell>
          <cell r="F55">
            <v>120</v>
          </cell>
          <cell r="I55">
            <v>100</v>
          </cell>
          <cell r="J55">
            <v>1</v>
          </cell>
          <cell r="L55">
            <v>0</v>
          </cell>
        </row>
        <row r="56">
          <cell r="D56" t="str">
            <v>CAB0114007</v>
          </cell>
          <cell r="E56" t="str">
            <v>CABILLA ESTRIADA 1/2 X 6,00 mts  SIDETUR</v>
          </cell>
          <cell r="F56">
            <v>240</v>
          </cell>
          <cell r="I56">
            <v>100</v>
          </cell>
          <cell r="J56">
            <v>1</v>
          </cell>
          <cell r="L56">
            <v>0</v>
          </cell>
        </row>
        <row r="57">
          <cell r="D57" t="str">
            <v>TUB0202012</v>
          </cell>
          <cell r="E57" t="str">
            <v xml:space="preserve">TUBO PULIDO RECT. 3 X 1 X 1,10 mm X 6,00 mts OFERTA </v>
          </cell>
          <cell r="G57">
            <v>1350</v>
          </cell>
          <cell r="H57">
            <v>9.8000000000000007</v>
          </cell>
          <cell r="I57">
            <v>100</v>
          </cell>
          <cell r="J57">
            <v>0.8</v>
          </cell>
          <cell r="K57">
            <v>20</v>
          </cell>
          <cell r="L57">
            <v>12.25</v>
          </cell>
        </row>
        <row r="58">
          <cell r="D58" t="str">
            <v>ALA0403001</v>
          </cell>
          <cell r="E58" t="str">
            <v>ALAMBRE GALVANIZADO CALIBRE 18</v>
          </cell>
          <cell r="F58">
            <v>10</v>
          </cell>
          <cell r="I58">
            <v>100</v>
          </cell>
          <cell r="J58">
            <v>1</v>
          </cell>
          <cell r="L58">
            <v>0</v>
          </cell>
        </row>
        <row r="59">
          <cell r="D59" t="str">
            <v>CAB0114010</v>
          </cell>
          <cell r="E59" t="str">
            <v>CABILLA ESTRIADA 1/2 X 12,00 mts  SIDOR</v>
          </cell>
          <cell r="F59">
            <v>25</v>
          </cell>
          <cell r="I59">
            <v>100</v>
          </cell>
          <cell r="J59">
            <v>1</v>
          </cell>
          <cell r="L59">
            <v>0</v>
          </cell>
        </row>
        <row r="60">
          <cell r="D60" t="str">
            <v>CAB0114007</v>
          </cell>
          <cell r="E60" t="str">
            <v>CABILLA ESTRIADA 1/2 X 6,00 mts  SIDETUR</v>
          </cell>
          <cell r="F60">
            <v>50</v>
          </cell>
          <cell r="I60">
            <v>100</v>
          </cell>
          <cell r="J60">
            <v>1</v>
          </cell>
          <cell r="L60">
            <v>0</v>
          </cell>
        </row>
        <row r="61">
          <cell r="D61" t="str">
            <v>CEM1045001</v>
          </cell>
          <cell r="E61" t="str">
            <v>CEMENTO GRIS ENSACADO</v>
          </cell>
          <cell r="F61">
            <v>720</v>
          </cell>
          <cell r="I61">
            <v>100</v>
          </cell>
          <cell r="J61">
            <v>1</v>
          </cell>
          <cell r="L61">
            <v>0</v>
          </cell>
        </row>
        <row r="62">
          <cell r="D62" t="str">
            <v>MAL0138002</v>
          </cell>
          <cell r="E62" t="str">
            <v>MALLA TRUCKSON 6 X 6 X 100 mts</v>
          </cell>
          <cell r="F62">
            <v>2</v>
          </cell>
          <cell r="I62">
            <v>100</v>
          </cell>
          <cell r="J62">
            <v>1</v>
          </cell>
          <cell r="L62">
            <v>0</v>
          </cell>
        </row>
        <row r="63">
          <cell r="D63" t="str">
            <v>TUB0903003</v>
          </cell>
          <cell r="E63" t="str">
            <v>TUBO ELEC. 3/4" X 3,00 mts OCC PLAST</v>
          </cell>
          <cell r="F63">
            <v>30</v>
          </cell>
          <cell r="I63">
            <v>100</v>
          </cell>
          <cell r="J63">
            <v>1</v>
          </cell>
          <cell r="L63">
            <v>0</v>
          </cell>
        </row>
        <row r="64">
          <cell r="D64" t="str">
            <v>CEM1045001</v>
          </cell>
          <cell r="E64" t="str">
            <v>CEMENTO GRIS ENSACADO</v>
          </cell>
          <cell r="F64">
            <v>20</v>
          </cell>
          <cell r="I64">
            <v>100</v>
          </cell>
          <cell r="J64">
            <v>1</v>
          </cell>
          <cell r="L64">
            <v>0</v>
          </cell>
        </row>
        <row r="65">
          <cell r="D65" t="str">
            <v>CON0923007</v>
          </cell>
          <cell r="E65" t="str">
            <v>CURVA CONDUIT 3/4" X 90 REFORZADO</v>
          </cell>
          <cell r="F65">
            <v>15</v>
          </cell>
          <cell r="I65">
            <v>100</v>
          </cell>
          <cell r="J65">
            <v>1</v>
          </cell>
          <cell r="L65">
            <v>0</v>
          </cell>
        </row>
        <row r="66">
          <cell r="D66" t="str">
            <v>CEM1045001</v>
          </cell>
          <cell r="E66" t="str">
            <v>CEMENTO GRIS ENSACADO</v>
          </cell>
          <cell r="F66">
            <v>100</v>
          </cell>
          <cell r="I66">
            <v>100</v>
          </cell>
          <cell r="J66">
            <v>1</v>
          </cell>
          <cell r="L66">
            <v>0</v>
          </cell>
        </row>
        <row r="67">
          <cell r="D67" t="str">
            <v>BAR0101001</v>
          </cell>
          <cell r="E67" t="str">
            <v xml:space="preserve">BARRA CUADRADA LISA 12mm X 6,00 mts </v>
          </cell>
          <cell r="F67">
            <v>2</v>
          </cell>
          <cell r="I67">
            <v>100</v>
          </cell>
          <cell r="J67">
            <v>1</v>
          </cell>
          <cell r="L67">
            <v>0</v>
          </cell>
        </row>
        <row r="68">
          <cell r="D68" t="str">
            <v>TUB0201005</v>
          </cell>
          <cell r="E68" t="str">
            <v xml:space="preserve">TUBO PULIDO CUAD. 1 X 1 X 0,90mm X 6,00 mts </v>
          </cell>
          <cell r="F68">
            <v>3</v>
          </cell>
          <cell r="I68">
            <v>100</v>
          </cell>
          <cell r="J68">
            <v>1</v>
          </cell>
          <cell r="L68">
            <v>0</v>
          </cell>
        </row>
        <row r="69">
          <cell r="D69" t="str">
            <v>FER1051003</v>
          </cell>
          <cell r="E69" t="str">
            <v>ELECTRODO 6013 1/8 KEEP DRY</v>
          </cell>
          <cell r="F69">
            <v>1</v>
          </cell>
          <cell r="I69">
            <v>100</v>
          </cell>
          <cell r="J69">
            <v>1</v>
          </cell>
          <cell r="L69">
            <v>0</v>
          </cell>
        </row>
        <row r="70">
          <cell r="D70" t="str">
            <v>FER1003003</v>
          </cell>
          <cell r="E70" t="str">
            <v>DISCO DE ESMERILAR 4 1/2</v>
          </cell>
          <cell r="F70">
            <v>3</v>
          </cell>
          <cell r="I70">
            <v>100</v>
          </cell>
          <cell r="J70">
            <v>1</v>
          </cell>
          <cell r="L70">
            <v>0</v>
          </cell>
        </row>
        <row r="71">
          <cell r="D71" t="str">
            <v>TUB0201005</v>
          </cell>
          <cell r="E71" t="str">
            <v xml:space="preserve">TUBO PULIDO CUAD. 1 X 1 X 0,90mm X 6,00 mts </v>
          </cell>
          <cell r="F71">
            <v>5</v>
          </cell>
          <cell r="I71">
            <v>100</v>
          </cell>
          <cell r="J71">
            <v>1</v>
          </cell>
          <cell r="L71">
            <v>0</v>
          </cell>
        </row>
        <row r="72">
          <cell r="D72" t="str">
            <v>CEM1045001</v>
          </cell>
          <cell r="E72" t="str">
            <v>CEMENTO GRIS ENSACADO</v>
          </cell>
          <cell r="F72">
            <v>5</v>
          </cell>
          <cell r="I72">
            <v>100</v>
          </cell>
          <cell r="J72">
            <v>1</v>
          </cell>
          <cell r="L72">
            <v>0</v>
          </cell>
        </row>
        <row r="73">
          <cell r="D73" t="str">
            <v>CEM1045001</v>
          </cell>
          <cell r="E73" t="str">
            <v>CEMENTO GRIS ENSACADO</v>
          </cell>
          <cell r="F73">
            <v>5</v>
          </cell>
          <cell r="I73">
            <v>100</v>
          </cell>
          <cell r="J73">
            <v>1</v>
          </cell>
          <cell r="L73">
            <v>0</v>
          </cell>
        </row>
        <row r="74">
          <cell r="D74" t="str">
            <v>TUB0202005</v>
          </cell>
          <cell r="E74" t="str">
            <v xml:space="preserve">TUBO PULIDO RECT. 2 X 1 X 0,90 mm X 6,00 mts </v>
          </cell>
          <cell r="F74">
            <v>12</v>
          </cell>
          <cell r="I74">
            <v>100</v>
          </cell>
          <cell r="J74">
            <v>1</v>
          </cell>
          <cell r="L74">
            <v>0</v>
          </cell>
        </row>
        <row r="75">
          <cell r="D75" t="str">
            <v>TUB0202012</v>
          </cell>
          <cell r="E75" t="str">
            <v xml:space="preserve">TUBO PULIDO RECT. 3 X 1 X 1,30 mm X 6,00 mts OFERTA </v>
          </cell>
          <cell r="F75">
            <v>6</v>
          </cell>
          <cell r="I75">
            <v>100</v>
          </cell>
          <cell r="J75">
            <v>1</v>
          </cell>
          <cell r="L75">
            <v>0</v>
          </cell>
        </row>
        <row r="76">
          <cell r="D76" t="str">
            <v>CEM1045001</v>
          </cell>
          <cell r="E76" t="str">
            <v>CEMENTO GRIS ENSACADO</v>
          </cell>
          <cell r="F76">
            <v>100</v>
          </cell>
          <cell r="I76">
            <v>100</v>
          </cell>
          <cell r="J76">
            <v>1</v>
          </cell>
          <cell r="L76">
            <v>0</v>
          </cell>
        </row>
        <row r="77">
          <cell r="D77" t="str">
            <v>CEM1045001</v>
          </cell>
          <cell r="E77" t="str">
            <v>CEMENTO GRIS ENSACADO</v>
          </cell>
          <cell r="F77">
            <v>150</v>
          </cell>
          <cell r="I77">
            <v>100</v>
          </cell>
          <cell r="J77">
            <v>1</v>
          </cell>
          <cell r="L77">
            <v>0</v>
          </cell>
        </row>
        <row r="78">
          <cell r="D78" t="str">
            <v>CEM1045001</v>
          </cell>
          <cell r="E78" t="str">
            <v>CEMENTO GRIS ENSACADO</v>
          </cell>
          <cell r="F78">
            <v>150</v>
          </cell>
          <cell r="I78">
            <v>100</v>
          </cell>
          <cell r="J78">
            <v>1</v>
          </cell>
          <cell r="L78">
            <v>0</v>
          </cell>
        </row>
        <row r="79">
          <cell r="D79" t="str">
            <v>CEM1045001</v>
          </cell>
          <cell r="E79" t="str">
            <v>CEMENTO GRIS ENSACADO</v>
          </cell>
          <cell r="F79">
            <v>70</v>
          </cell>
          <cell r="I79">
            <v>100</v>
          </cell>
          <cell r="J79">
            <v>1</v>
          </cell>
          <cell r="L79">
            <v>0</v>
          </cell>
        </row>
        <row r="80">
          <cell r="D80" t="str">
            <v>CAB0114010</v>
          </cell>
          <cell r="E80" t="str">
            <v>CABILLA ESTRIADA 1/2 X 12,00 mts  SIDOR</v>
          </cell>
          <cell r="F80">
            <v>30</v>
          </cell>
          <cell r="I80">
            <v>100</v>
          </cell>
          <cell r="J80">
            <v>1</v>
          </cell>
          <cell r="L80">
            <v>0</v>
          </cell>
        </row>
        <row r="81">
          <cell r="D81" t="str">
            <v>TUB0903002</v>
          </cell>
          <cell r="E81" t="str">
            <v>TUBO ELEC. 1/2" X 3,00 mts</v>
          </cell>
          <cell r="F81">
            <v>15</v>
          </cell>
          <cell r="I81">
            <v>100</v>
          </cell>
          <cell r="J81">
            <v>1</v>
          </cell>
          <cell r="L81">
            <v>0</v>
          </cell>
        </row>
        <row r="82">
          <cell r="D82" t="str">
            <v>ELE0433005</v>
          </cell>
          <cell r="E82" t="str">
            <v>CAJETIN 4 X 4 OCTAGONAL EMT</v>
          </cell>
          <cell r="F82">
            <v>6</v>
          </cell>
          <cell r="I82">
            <v>100</v>
          </cell>
          <cell r="J82">
            <v>1</v>
          </cell>
          <cell r="L82">
            <v>0</v>
          </cell>
        </row>
        <row r="83">
          <cell r="D83" t="str">
            <v>TUB0803010</v>
          </cell>
          <cell r="E83" t="str">
            <v xml:space="preserve">TUBO PVC A/N 4" X 3,00 mts OCC PLAST GRIS </v>
          </cell>
          <cell r="F83">
            <v>2</v>
          </cell>
          <cell r="I83">
            <v>100</v>
          </cell>
          <cell r="J83">
            <v>1</v>
          </cell>
          <cell r="L83">
            <v>0</v>
          </cell>
        </row>
        <row r="84">
          <cell r="D84" t="str">
            <v>CON0826002</v>
          </cell>
          <cell r="E84" t="str">
            <v>REDUCCION A.N 4 X 2 TUBRICA</v>
          </cell>
          <cell r="F84">
            <v>1</v>
          </cell>
          <cell r="I84">
            <v>100</v>
          </cell>
          <cell r="J84">
            <v>1</v>
          </cell>
          <cell r="L84">
            <v>0</v>
          </cell>
        </row>
        <row r="85">
          <cell r="D85" t="str">
            <v>CON0830002</v>
          </cell>
          <cell r="E85" t="str">
            <v>YEE A.N 4" TUBRICA</v>
          </cell>
          <cell r="F85">
            <v>2</v>
          </cell>
          <cell r="I85">
            <v>100</v>
          </cell>
          <cell r="J85">
            <v>1</v>
          </cell>
          <cell r="L85">
            <v>0</v>
          </cell>
        </row>
        <row r="86">
          <cell r="D86" t="str">
            <v>TUB0803012</v>
          </cell>
          <cell r="E86" t="str">
            <v xml:space="preserve">TUBO PVC A/N 3" X 3,00 mts DERIVADOS PLASTICOS </v>
          </cell>
          <cell r="F86">
            <v>3</v>
          </cell>
          <cell r="I86">
            <v>100</v>
          </cell>
          <cell r="J86">
            <v>1</v>
          </cell>
          <cell r="L86">
            <v>0</v>
          </cell>
        </row>
        <row r="87">
          <cell r="D87" t="str">
            <v>CAB0114007</v>
          </cell>
          <cell r="E87" t="str">
            <v>CABILLA ESTRIADA 1/2 X 6,00 mts  SIDETUR</v>
          </cell>
          <cell r="F87">
            <v>45</v>
          </cell>
          <cell r="I87">
            <v>100</v>
          </cell>
          <cell r="J87">
            <v>1</v>
          </cell>
          <cell r="L87">
            <v>0</v>
          </cell>
        </row>
        <row r="88">
          <cell r="D88" t="str">
            <v>CAB0114005</v>
          </cell>
          <cell r="E88" t="str">
            <v>CABILLA ESTRIADA  3/8 X 6,00 mts SIDETUR</v>
          </cell>
          <cell r="F88">
            <v>30</v>
          </cell>
          <cell r="I88">
            <v>100</v>
          </cell>
          <cell r="J88">
            <v>1</v>
          </cell>
          <cell r="L88">
            <v>0</v>
          </cell>
        </row>
        <row r="89">
          <cell r="D89" t="str">
            <v>MAL0138003</v>
          </cell>
          <cell r="E89" t="str">
            <v>MALLA TRUCKSON 6 X 8 X 100 mts</v>
          </cell>
          <cell r="F89">
            <v>1</v>
          </cell>
          <cell r="I89">
            <v>100</v>
          </cell>
          <cell r="J89">
            <v>1</v>
          </cell>
          <cell r="L89">
            <v>0</v>
          </cell>
        </row>
        <row r="90">
          <cell r="D90" t="str">
            <v>ALA0403001</v>
          </cell>
          <cell r="E90" t="str">
            <v>ALAMBRE GALVANIZADO CALIBRE 18</v>
          </cell>
          <cell r="F90">
            <v>7</v>
          </cell>
          <cell r="I90">
            <v>100</v>
          </cell>
          <cell r="J90">
            <v>1</v>
          </cell>
          <cell r="L90">
            <v>0</v>
          </cell>
        </row>
        <row r="91">
          <cell r="D91" t="str">
            <v>CON0822005</v>
          </cell>
          <cell r="E91" t="str">
            <v>CODO A.N 3" X 45 TUBRICA</v>
          </cell>
          <cell r="F91">
            <v>3</v>
          </cell>
          <cell r="I91">
            <v>100</v>
          </cell>
          <cell r="J91">
            <v>1</v>
          </cell>
          <cell r="L91">
            <v>0</v>
          </cell>
        </row>
        <row r="92">
          <cell r="D92" t="str">
            <v>CON0822006</v>
          </cell>
          <cell r="E92" t="str">
            <v>CODO A.N 3" X 90 NACIONAL</v>
          </cell>
          <cell r="F92">
            <v>3</v>
          </cell>
          <cell r="I92">
            <v>100</v>
          </cell>
          <cell r="J92">
            <v>1</v>
          </cell>
          <cell r="L92">
            <v>0</v>
          </cell>
        </row>
        <row r="93">
          <cell r="D93" t="str">
            <v>CEM1045001</v>
          </cell>
          <cell r="E93" t="str">
            <v>CEMENTO GRIS ENSACADO</v>
          </cell>
          <cell r="F93">
            <v>90</v>
          </cell>
          <cell r="I93">
            <v>100</v>
          </cell>
          <cell r="J93">
            <v>1</v>
          </cell>
          <cell r="L93">
            <v>0</v>
          </cell>
        </row>
        <row r="94">
          <cell r="D94" t="str">
            <v>CAB0114005</v>
          </cell>
          <cell r="E94" t="str">
            <v>CABILLA ESTRIADA  3/8 X 6,00 mts SIDETUR</v>
          </cell>
          <cell r="F94">
            <v>155</v>
          </cell>
          <cell r="I94">
            <v>100</v>
          </cell>
          <cell r="J94">
            <v>1</v>
          </cell>
          <cell r="L94">
            <v>0</v>
          </cell>
        </row>
        <row r="95">
          <cell r="D95" t="str">
            <v>ALA0403001</v>
          </cell>
          <cell r="E95" t="str">
            <v>ALAMBRE GALVANIZADO CALIBRE 18</v>
          </cell>
          <cell r="F95">
            <v>15</v>
          </cell>
          <cell r="I95">
            <v>100</v>
          </cell>
          <cell r="J95">
            <v>1</v>
          </cell>
          <cell r="L95">
            <v>0</v>
          </cell>
        </row>
        <row r="96">
          <cell r="D96" t="str">
            <v>MAL0138003</v>
          </cell>
          <cell r="E96" t="str">
            <v>MALLA TRUCKSON 6 X 8 X 100 mts</v>
          </cell>
          <cell r="F96">
            <v>2</v>
          </cell>
          <cell r="I96">
            <v>100</v>
          </cell>
          <cell r="J96">
            <v>1</v>
          </cell>
          <cell r="L96">
            <v>0</v>
          </cell>
        </row>
        <row r="97">
          <cell r="D97" t="str">
            <v>ALB0141004</v>
          </cell>
          <cell r="E97" t="str">
            <v xml:space="preserve">ALAMBRON 4,5 mm X 6 mts </v>
          </cell>
          <cell r="F97">
            <v>73</v>
          </cell>
          <cell r="I97">
            <v>100</v>
          </cell>
          <cell r="J97">
            <v>1</v>
          </cell>
          <cell r="L97">
            <v>0</v>
          </cell>
        </row>
        <row r="98">
          <cell r="D98" t="str">
            <v>TUB0302001</v>
          </cell>
          <cell r="E98" t="str">
            <v xml:space="preserve">TUBO ESTRUC. RECT. 100 X 40 X 2,00mm X 6,00 mts </v>
          </cell>
          <cell r="F98">
            <v>11</v>
          </cell>
          <cell r="I98">
            <v>100</v>
          </cell>
          <cell r="J98">
            <v>1</v>
          </cell>
          <cell r="L98">
            <v>0</v>
          </cell>
        </row>
        <row r="99">
          <cell r="D99" t="str">
            <v>TUB0202011</v>
          </cell>
          <cell r="E99" t="str">
            <v xml:space="preserve">TUBO PULIDO RECT. 3 X 1 X 0,90 mm X 6,00 mts </v>
          </cell>
          <cell r="F99">
            <v>24</v>
          </cell>
          <cell r="I99">
            <v>100</v>
          </cell>
          <cell r="J99">
            <v>1</v>
          </cell>
          <cell r="L99">
            <v>0</v>
          </cell>
        </row>
        <row r="100">
          <cell r="D100" t="str">
            <v>FLA0101001</v>
          </cell>
          <cell r="E100" t="str">
            <v>FLANCHE 20 X 20 X 12 mm</v>
          </cell>
          <cell r="F100">
            <v>16</v>
          </cell>
          <cell r="I100">
            <v>100</v>
          </cell>
          <cell r="J100">
            <v>1</v>
          </cell>
          <cell r="L100">
            <v>0</v>
          </cell>
        </row>
        <row r="101">
          <cell r="D101" t="str">
            <v>FER1051003</v>
          </cell>
          <cell r="E101" t="str">
            <v>ELECTRODO 6013 1/8 KEEP DRY</v>
          </cell>
          <cell r="F101">
            <v>20</v>
          </cell>
          <cell r="I101">
            <v>100</v>
          </cell>
          <cell r="J101">
            <v>1</v>
          </cell>
          <cell r="L101">
            <v>0</v>
          </cell>
        </row>
        <row r="102">
          <cell r="D102" t="str">
            <v>TUB0201010</v>
          </cell>
          <cell r="E102" t="str">
            <v>TUBO PULIDO CUAD. 4 X 4 X 1,40 mm X 6,00 mts 2da</v>
          </cell>
          <cell r="F102">
            <v>5</v>
          </cell>
          <cell r="I102">
            <v>100</v>
          </cell>
          <cell r="J102">
            <v>1</v>
          </cell>
          <cell r="L102">
            <v>0</v>
          </cell>
        </row>
        <row r="103">
          <cell r="D103" t="str">
            <v>ALB0141004</v>
          </cell>
          <cell r="E103" t="str">
            <v xml:space="preserve">ALAMBRON 4,5 mm X 6 mts </v>
          </cell>
          <cell r="G103">
            <v>1000</v>
          </cell>
          <cell r="H103">
            <v>1.1000000000000001</v>
          </cell>
          <cell r="I103">
            <v>100</v>
          </cell>
          <cell r="J103">
            <v>0.8</v>
          </cell>
          <cell r="K103">
            <v>20</v>
          </cell>
          <cell r="L103">
            <v>1.375</v>
          </cell>
        </row>
        <row r="104">
          <cell r="D104" t="str">
            <v>CAB0114005</v>
          </cell>
          <cell r="E104" t="str">
            <v>CABILLA ESTRIADA  3/8 X 6,00 mts SIDETUR</v>
          </cell>
          <cell r="G104">
            <v>300</v>
          </cell>
          <cell r="H104">
            <v>3.4</v>
          </cell>
          <cell r="I104">
            <v>100</v>
          </cell>
          <cell r="J104">
            <v>0.8</v>
          </cell>
          <cell r="K104">
            <v>20</v>
          </cell>
          <cell r="L104">
            <v>4.25</v>
          </cell>
        </row>
        <row r="105">
          <cell r="D105" t="str">
            <v>CAB0114004</v>
          </cell>
          <cell r="E105" t="str">
            <v>CABILLA ESTRIADA  3/8 X 12,00 mts SIDETUR</v>
          </cell>
          <cell r="G105">
            <v>40</v>
          </cell>
          <cell r="H105">
            <v>6.8</v>
          </cell>
          <cell r="I105">
            <v>100</v>
          </cell>
          <cell r="J105">
            <v>0.8</v>
          </cell>
          <cell r="K105">
            <v>20</v>
          </cell>
          <cell r="L105">
            <v>8.5</v>
          </cell>
        </row>
        <row r="106">
          <cell r="D106" t="str">
            <v>ALB0141004</v>
          </cell>
          <cell r="E106" t="str">
            <v xml:space="preserve">ALAMBRON 4,5 mm X 6 mts </v>
          </cell>
          <cell r="G106">
            <v>500</v>
          </cell>
          <cell r="H106">
            <v>1.1000000000000001</v>
          </cell>
          <cell r="I106">
            <v>100</v>
          </cell>
          <cell r="J106">
            <v>0.8</v>
          </cell>
          <cell r="K106">
            <v>20</v>
          </cell>
          <cell r="L106">
            <v>1.375</v>
          </cell>
        </row>
        <row r="107">
          <cell r="D107" t="str">
            <v>LAM0113006</v>
          </cell>
          <cell r="E107" t="str">
            <v xml:space="preserve">LAMINA HN 6,00 mm X 1,210 X 2,40 m </v>
          </cell>
          <cell r="F107">
            <v>4</v>
          </cell>
          <cell r="I107">
            <v>100</v>
          </cell>
          <cell r="J107">
            <v>1</v>
          </cell>
          <cell r="L107">
            <v>0</v>
          </cell>
        </row>
        <row r="108">
          <cell r="D108" t="str">
            <v>LAM0113005</v>
          </cell>
          <cell r="E108" t="str">
            <v xml:space="preserve">LAMINA HN 6,00 mm X 1,205 X 2,40 m </v>
          </cell>
          <cell r="F108">
            <v>1</v>
          </cell>
          <cell r="I108">
            <v>100</v>
          </cell>
          <cell r="J108">
            <v>1</v>
          </cell>
          <cell r="L108">
            <v>0</v>
          </cell>
        </row>
        <row r="109">
          <cell r="D109" t="str">
            <v>MAL0138003</v>
          </cell>
          <cell r="E109" t="str">
            <v>MALLA TRUCKSON 6 X 8 X 100 mts</v>
          </cell>
          <cell r="F109">
            <v>2</v>
          </cell>
          <cell r="I109">
            <v>100</v>
          </cell>
          <cell r="J109">
            <v>1</v>
          </cell>
          <cell r="L109">
            <v>0</v>
          </cell>
        </row>
        <row r="110">
          <cell r="D110" t="str">
            <v>CEM1045001</v>
          </cell>
          <cell r="E110" t="str">
            <v>CEMENTO GRIS ENSACADO</v>
          </cell>
          <cell r="G110">
            <v>100</v>
          </cell>
          <cell r="H110">
            <v>8.5</v>
          </cell>
          <cell r="I110">
            <v>100</v>
          </cell>
          <cell r="J110">
            <v>0.89500000000000002</v>
          </cell>
          <cell r="K110">
            <v>10.5</v>
          </cell>
          <cell r="L110">
            <v>9.4972067039106136</v>
          </cell>
        </row>
        <row r="111">
          <cell r="D111" t="str">
            <v>CEM1045001</v>
          </cell>
          <cell r="E111" t="str">
            <v>CEMENTO GRIS ENSACADO</v>
          </cell>
          <cell r="F111">
            <v>50</v>
          </cell>
          <cell r="I111">
            <v>100</v>
          </cell>
          <cell r="J111">
            <v>1</v>
          </cell>
          <cell r="L111">
            <v>0</v>
          </cell>
        </row>
        <row r="112">
          <cell r="D112" t="str">
            <v>MAL0138003</v>
          </cell>
          <cell r="E112" t="str">
            <v>MALLA TRUCKSON 6 X 8 X 100 mts</v>
          </cell>
          <cell r="F112">
            <v>1</v>
          </cell>
          <cell r="I112">
            <v>100</v>
          </cell>
          <cell r="J112">
            <v>1</v>
          </cell>
          <cell r="L112">
            <v>0</v>
          </cell>
        </row>
        <row r="113">
          <cell r="D113" t="str">
            <v>FER1051003</v>
          </cell>
          <cell r="E113" t="str">
            <v>ELECTRODO 6013 1/8 KEEP DRY</v>
          </cell>
          <cell r="F113">
            <v>160</v>
          </cell>
          <cell r="I113">
            <v>100</v>
          </cell>
          <cell r="J113">
            <v>1</v>
          </cell>
          <cell r="L113">
            <v>0</v>
          </cell>
        </row>
        <row r="114">
          <cell r="D114" t="str">
            <v>ALA0403002</v>
          </cell>
          <cell r="E114" t="str">
            <v>ALAMBRE GALVANIZADO CALIBRE 18 DE SEGUNDA</v>
          </cell>
          <cell r="F114">
            <v>25</v>
          </cell>
          <cell r="I114">
            <v>100</v>
          </cell>
          <cell r="J114">
            <v>1</v>
          </cell>
          <cell r="L114">
            <v>0</v>
          </cell>
        </row>
        <row r="115">
          <cell r="D115" t="str">
            <v>LAM1915001</v>
          </cell>
          <cell r="E115" t="str">
            <v>LOSACERO 6,10 X 0,79 mts CAL 22</v>
          </cell>
          <cell r="F115">
            <v>25</v>
          </cell>
          <cell r="I115">
            <v>100</v>
          </cell>
          <cell r="J115">
            <v>1</v>
          </cell>
          <cell r="L115">
            <v>0</v>
          </cell>
        </row>
        <row r="116">
          <cell r="D116" t="str">
            <v>ELE1603001</v>
          </cell>
          <cell r="E116" t="str">
            <v>ARVIDAL 1/0</v>
          </cell>
          <cell r="F116">
            <v>10</v>
          </cell>
          <cell r="I116">
            <v>100</v>
          </cell>
          <cell r="J116">
            <v>1</v>
          </cell>
          <cell r="L116">
            <v>0</v>
          </cell>
        </row>
        <row r="117">
          <cell r="D117" t="str">
            <v>TUB0403005</v>
          </cell>
          <cell r="E117" t="str">
            <v xml:space="preserve">TUBO GALV. C/ROSC. 1/2 X 2,3mm X 6,00 mts </v>
          </cell>
          <cell r="F117">
            <v>12</v>
          </cell>
          <cell r="I117">
            <v>100</v>
          </cell>
          <cell r="J117">
            <v>1</v>
          </cell>
          <cell r="L117">
            <v>0</v>
          </cell>
        </row>
        <row r="118">
          <cell r="D118" t="str">
            <v>CEM1045001</v>
          </cell>
          <cell r="E118" t="str">
            <v>CEMENTO GRIS ENSACADO</v>
          </cell>
          <cell r="F118">
            <v>30</v>
          </cell>
          <cell r="I118">
            <v>100</v>
          </cell>
          <cell r="J118">
            <v>1</v>
          </cell>
          <cell r="L118">
            <v>0</v>
          </cell>
        </row>
        <row r="119">
          <cell r="D119" t="str">
            <v>CAB0114007</v>
          </cell>
          <cell r="E119" t="str">
            <v>CABILLA ESTRIADA 1/2 X 6,00 mts  SIDETUR</v>
          </cell>
          <cell r="F119">
            <v>30</v>
          </cell>
          <cell r="I119">
            <v>100</v>
          </cell>
          <cell r="J119">
            <v>1</v>
          </cell>
          <cell r="L119">
            <v>0</v>
          </cell>
        </row>
        <row r="120">
          <cell r="D120" t="str">
            <v>PER0111002</v>
          </cell>
          <cell r="E120" t="str">
            <v>ANGULO 40 X 4mm X 6,00 mts *</v>
          </cell>
          <cell r="F120">
            <v>1</v>
          </cell>
          <cell r="I120">
            <v>100</v>
          </cell>
          <cell r="J120">
            <v>1</v>
          </cell>
          <cell r="L120">
            <v>0</v>
          </cell>
        </row>
        <row r="121">
          <cell r="D121" t="str">
            <v>FER1003001</v>
          </cell>
          <cell r="E121" t="str">
            <v>DISCO DE CORTE 4 1/2</v>
          </cell>
          <cell r="F121">
            <v>2</v>
          </cell>
          <cell r="I121">
            <v>100</v>
          </cell>
          <cell r="J121">
            <v>1</v>
          </cell>
          <cell r="L121">
            <v>0</v>
          </cell>
        </row>
        <row r="122">
          <cell r="D122" t="str">
            <v>FER1051002</v>
          </cell>
          <cell r="E122" t="str">
            <v>ELECTRODO 532 7 1/8 GRICON</v>
          </cell>
          <cell r="F122">
            <v>18</v>
          </cell>
          <cell r="I122">
            <v>100</v>
          </cell>
          <cell r="J122">
            <v>1</v>
          </cell>
          <cell r="L122">
            <v>0</v>
          </cell>
        </row>
        <row r="123">
          <cell r="D123" t="str">
            <v>ALA0403001</v>
          </cell>
          <cell r="E123" t="str">
            <v>ALAMBRE GALVANIZADO CALIBRE 18</v>
          </cell>
          <cell r="F123">
            <v>25</v>
          </cell>
          <cell r="I123">
            <v>100</v>
          </cell>
          <cell r="J123">
            <v>1</v>
          </cell>
          <cell r="L123">
            <v>0</v>
          </cell>
        </row>
        <row r="124">
          <cell r="D124" t="str">
            <v>CAB0114005</v>
          </cell>
          <cell r="E124" t="str">
            <v>CABILLA ESTRIADA  3/8 X 6,00 mts SIDETUR</v>
          </cell>
          <cell r="F124">
            <v>20</v>
          </cell>
          <cell r="I124">
            <v>100</v>
          </cell>
          <cell r="J124">
            <v>1</v>
          </cell>
          <cell r="L124">
            <v>0</v>
          </cell>
        </row>
        <row r="125">
          <cell r="D125" t="str">
            <v>TUB0803007</v>
          </cell>
          <cell r="E125" t="str">
            <v xml:space="preserve">TUBO PVC A/N 2" X 3,00 mts DERIVADOS PLASTICOS </v>
          </cell>
          <cell r="F125">
            <v>1</v>
          </cell>
          <cell r="I125">
            <v>100</v>
          </cell>
          <cell r="J125">
            <v>1</v>
          </cell>
          <cell r="L125">
            <v>0</v>
          </cell>
        </row>
        <row r="126">
          <cell r="D126" t="str">
            <v>TUB0803013</v>
          </cell>
          <cell r="E126" t="str">
            <v xml:space="preserve">TUBO PVC A/N 4" X 3,00 mts TUBRICA Amarrillo </v>
          </cell>
          <cell r="F126">
            <v>2</v>
          </cell>
          <cell r="I126">
            <v>100</v>
          </cell>
          <cell r="J126">
            <v>1</v>
          </cell>
          <cell r="L126">
            <v>0</v>
          </cell>
        </row>
        <row r="127">
          <cell r="D127" t="str">
            <v>TUB0903002</v>
          </cell>
          <cell r="E127" t="str">
            <v>TUBO ELEC. 1/2" X 3,00 mts</v>
          </cell>
          <cell r="F127">
            <v>2</v>
          </cell>
          <cell r="I127">
            <v>100</v>
          </cell>
          <cell r="J127">
            <v>1</v>
          </cell>
          <cell r="L127">
            <v>0</v>
          </cell>
        </row>
        <row r="128">
          <cell r="D128" t="str">
            <v>CON0628001</v>
          </cell>
          <cell r="E128" t="str">
            <v>TEE A.F 1/2 LISA</v>
          </cell>
          <cell r="F128">
            <v>5</v>
          </cell>
          <cell r="I128">
            <v>100</v>
          </cell>
          <cell r="J128">
            <v>1</v>
          </cell>
          <cell r="L128">
            <v>0</v>
          </cell>
        </row>
        <row r="129">
          <cell r="D129" t="str">
            <v>CON0622001</v>
          </cell>
          <cell r="E129" t="str">
            <v xml:space="preserve">CODO A.F 1/2 X 45 NACIONAL </v>
          </cell>
          <cell r="F129">
            <v>6</v>
          </cell>
          <cell r="I129">
            <v>100</v>
          </cell>
          <cell r="J129">
            <v>1</v>
          </cell>
          <cell r="L129">
            <v>0</v>
          </cell>
        </row>
        <row r="130">
          <cell r="D130" t="str">
            <v>CON0822007</v>
          </cell>
          <cell r="E130" t="str">
            <v>CODO A.N 4" X 45 TUBRICA</v>
          </cell>
          <cell r="F130">
            <v>1</v>
          </cell>
          <cell r="I130">
            <v>100</v>
          </cell>
          <cell r="J130">
            <v>1</v>
          </cell>
          <cell r="L130">
            <v>0</v>
          </cell>
        </row>
        <row r="131">
          <cell r="D131" t="str">
            <v>CON0822008</v>
          </cell>
          <cell r="E131" t="str">
            <v>CODO A.N 4" X 90 TUBRICA</v>
          </cell>
          <cell r="F131">
            <v>1</v>
          </cell>
          <cell r="I131">
            <v>100</v>
          </cell>
          <cell r="J131">
            <v>1</v>
          </cell>
          <cell r="L131">
            <v>0</v>
          </cell>
        </row>
        <row r="132">
          <cell r="D132" t="str">
            <v>CON0621002</v>
          </cell>
          <cell r="E132" t="str">
            <v xml:space="preserve">ANILLO A.F 1/2 </v>
          </cell>
          <cell r="F132">
            <v>2</v>
          </cell>
          <cell r="I132">
            <v>100</v>
          </cell>
          <cell r="J132">
            <v>1</v>
          </cell>
          <cell r="L132">
            <v>0</v>
          </cell>
        </row>
        <row r="133">
          <cell r="D133" t="str">
            <v>CON0831001</v>
          </cell>
          <cell r="E133" t="str">
            <v>SIFON A.N 2" TUBRICA</v>
          </cell>
          <cell r="F133">
            <v>3</v>
          </cell>
          <cell r="I133">
            <v>100</v>
          </cell>
          <cell r="J133">
            <v>1</v>
          </cell>
          <cell r="L133">
            <v>0</v>
          </cell>
        </row>
        <row r="134">
          <cell r="D134" t="str">
            <v>CON0830005</v>
          </cell>
          <cell r="E134" t="str">
            <v>YEE RED A.N 4" X 2 TUBRICA</v>
          </cell>
          <cell r="F134">
            <v>2</v>
          </cell>
          <cell r="I134">
            <v>100</v>
          </cell>
          <cell r="J134">
            <v>1</v>
          </cell>
          <cell r="L134">
            <v>0</v>
          </cell>
        </row>
        <row r="135">
          <cell r="D135" t="str">
            <v>CEM1045001</v>
          </cell>
          <cell r="E135" t="str">
            <v>CEMENTO GRIS ENSACADO</v>
          </cell>
          <cell r="F135">
            <v>6</v>
          </cell>
          <cell r="I135">
            <v>100</v>
          </cell>
          <cell r="J135">
            <v>1</v>
          </cell>
          <cell r="L135">
            <v>0</v>
          </cell>
        </row>
        <row r="136">
          <cell r="D136" t="str">
            <v>CEM1045001</v>
          </cell>
          <cell r="E136" t="str">
            <v>CEMENTO GRIS ENSACADO</v>
          </cell>
          <cell r="F136">
            <v>10</v>
          </cell>
          <cell r="I136">
            <v>100</v>
          </cell>
          <cell r="J136">
            <v>1</v>
          </cell>
          <cell r="L136">
            <v>0</v>
          </cell>
        </row>
        <row r="137">
          <cell r="D137" t="str">
            <v>CEM1045001</v>
          </cell>
          <cell r="E137" t="str">
            <v>CEMENTO GRIS ENSACADO</v>
          </cell>
          <cell r="F137">
            <v>45</v>
          </cell>
          <cell r="I137">
            <v>100</v>
          </cell>
          <cell r="J137">
            <v>1</v>
          </cell>
          <cell r="L137">
            <v>0</v>
          </cell>
        </row>
        <row r="138">
          <cell r="D138" t="str">
            <v>CAB0114005</v>
          </cell>
          <cell r="E138" t="str">
            <v>CABILLA ESTRIADA  3/8 X 6,00 mts SIDETUR</v>
          </cell>
          <cell r="F138">
            <v>100</v>
          </cell>
          <cell r="I138">
            <v>100</v>
          </cell>
          <cell r="J138">
            <v>1</v>
          </cell>
          <cell r="L138">
            <v>0</v>
          </cell>
        </row>
        <row r="139">
          <cell r="D139" t="str">
            <v>CER0100001</v>
          </cell>
          <cell r="E139" t="str">
            <v>CERCHAS 10mm X 6 mts</v>
          </cell>
          <cell r="F139">
            <v>25</v>
          </cell>
          <cell r="I139">
            <v>100</v>
          </cell>
          <cell r="J139">
            <v>1</v>
          </cell>
          <cell r="L139">
            <v>0</v>
          </cell>
        </row>
        <row r="140">
          <cell r="D140" t="str">
            <v>CER0100002</v>
          </cell>
          <cell r="E140" t="str">
            <v>CERCHAS 15mm X 6 mts</v>
          </cell>
          <cell r="F140">
            <v>50</v>
          </cell>
          <cell r="I140">
            <v>100</v>
          </cell>
          <cell r="J140">
            <v>1</v>
          </cell>
          <cell r="L140">
            <v>0</v>
          </cell>
        </row>
        <row r="141">
          <cell r="D141" t="str">
            <v>FLA0101001</v>
          </cell>
          <cell r="E141" t="str">
            <v>FLANCHE 20 X 20 X 12 mm</v>
          </cell>
          <cell r="F141">
            <v>40</v>
          </cell>
          <cell r="I141">
            <v>100</v>
          </cell>
          <cell r="J141">
            <v>1</v>
          </cell>
          <cell r="L141">
            <v>0</v>
          </cell>
        </row>
        <row r="142">
          <cell r="D142" t="str">
            <v>MAL0138003</v>
          </cell>
          <cell r="E142" t="str">
            <v>MALLA TRUCKSON 6 X 8 X 100 mts</v>
          </cell>
          <cell r="F142">
            <v>5</v>
          </cell>
          <cell r="I142">
            <v>100</v>
          </cell>
          <cell r="J142">
            <v>1</v>
          </cell>
          <cell r="L142">
            <v>0</v>
          </cell>
        </row>
        <row r="143">
          <cell r="D143" t="str">
            <v>PER0143001</v>
          </cell>
          <cell r="E143" t="str">
            <v xml:space="preserve">PERFIL PARA MARCOS DE PUERTAS 10 X 5,80  mts </v>
          </cell>
          <cell r="F143">
            <v>10</v>
          </cell>
          <cell r="I143">
            <v>100</v>
          </cell>
          <cell r="J143">
            <v>1</v>
          </cell>
          <cell r="L143">
            <v>0</v>
          </cell>
        </row>
        <row r="144">
          <cell r="D144" t="str">
            <v>TUB0201005</v>
          </cell>
          <cell r="E144" t="str">
            <v xml:space="preserve">TUBO PULIDO CUAD. 1 X 1 X 0,90mm X 6,00 mts </v>
          </cell>
          <cell r="F144">
            <v>20</v>
          </cell>
          <cell r="I144">
            <v>100</v>
          </cell>
          <cell r="J144">
            <v>1</v>
          </cell>
          <cell r="L144">
            <v>0</v>
          </cell>
        </row>
        <row r="145">
          <cell r="D145" t="str">
            <v>TUB0202005</v>
          </cell>
          <cell r="E145" t="str">
            <v xml:space="preserve">TUBO PULIDO RECT. 2 X 1 X 0,90 mm X 6,00 mts </v>
          </cell>
          <cell r="F145">
            <v>50</v>
          </cell>
          <cell r="I145">
            <v>100</v>
          </cell>
          <cell r="J145">
            <v>1</v>
          </cell>
          <cell r="L145">
            <v>0</v>
          </cell>
        </row>
        <row r="146">
          <cell r="D146" t="str">
            <v>TUB1403001</v>
          </cell>
          <cell r="E146" t="str">
            <v xml:space="preserve">TUBO VENT. 1 1/2 X 2,00mm X 6,00 mts </v>
          </cell>
          <cell r="F146">
            <v>2</v>
          </cell>
          <cell r="I146">
            <v>100</v>
          </cell>
          <cell r="J146">
            <v>1</v>
          </cell>
          <cell r="L146">
            <v>0</v>
          </cell>
        </row>
        <row r="147">
          <cell r="D147" t="str">
            <v>CEM1045001</v>
          </cell>
          <cell r="E147" t="str">
            <v>CEMENTO GRIS ENSACADO</v>
          </cell>
          <cell r="F147">
            <v>100</v>
          </cell>
          <cell r="I147">
            <v>100</v>
          </cell>
          <cell r="J147">
            <v>1</v>
          </cell>
          <cell r="L147">
            <v>0</v>
          </cell>
        </row>
        <row r="148">
          <cell r="D148" t="str">
            <v>CEM1045001</v>
          </cell>
          <cell r="E148" t="str">
            <v>CEMENTO GRIS ENSACADO</v>
          </cell>
          <cell r="G148">
            <v>720</v>
          </cell>
          <cell r="H148">
            <v>6.5</v>
          </cell>
          <cell r="I148">
            <v>100</v>
          </cell>
          <cell r="J148">
            <v>0.7</v>
          </cell>
          <cell r="K148">
            <v>30</v>
          </cell>
          <cell r="L148">
            <v>9.2857142857142865</v>
          </cell>
        </row>
        <row r="149">
          <cell r="D149" t="str">
            <v>CAB0114004</v>
          </cell>
          <cell r="E149" t="str">
            <v>CABILLA ESTRIADA  3/8 X 12,00 mts SIDETUR</v>
          </cell>
          <cell r="G149">
            <v>3900</v>
          </cell>
          <cell r="H149">
            <v>6.9</v>
          </cell>
          <cell r="I149">
            <v>100</v>
          </cell>
          <cell r="J149">
            <v>0.8</v>
          </cell>
          <cell r="K149">
            <v>20</v>
          </cell>
          <cell r="L149">
            <v>8.625</v>
          </cell>
        </row>
        <row r="150">
          <cell r="D150" t="str">
            <v>PER0111001</v>
          </cell>
          <cell r="E150" t="str">
            <v xml:space="preserve">ANGULO 20 X 3mm X 6,00 mts </v>
          </cell>
          <cell r="F150">
            <v>32</v>
          </cell>
          <cell r="I150">
            <v>100</v>
          </cell>
          <cell r="J150">
            <v>1</v>
          </cell>
          <cell r="L150">
            <v>0</v>
          </cell>
        </row>
        <row r="151">
          <cell r="D151" t="str">
            <v>PER0111002</v>
          </cell>
          <cell r="E151" t="str">
            <v>ANGULO 40 X 4mm X 6,00 mts *</v>
          </cell>
          <cell r="F151">
            <v>1</v>
          </cell>
          <cell r="I151">
            <v>100</v>
          </cell>
          <cell r="J151">
            <v>1</v>
          </cell>
          <cell r="L151">
            <v>0</v>
          </cell>
        </row>
        <row r="152">
          <cell r="D152" t="str">
            <v>TUB0202012</v>
          </cell>
          <cell r="E152" t="str">
            <v xml:space="preserve">TUBO PULIDO RECT. 3 X 1 X 1,30 mm X 6,00 mts OFERTA </v>
          </cell>
          <cell r="F152">
            <v>4</v>
          </cell>
          <cell r="I152">
            <v>100</v>
          </cell>
          <cell r="J152">
            <v>1</v>
          </cell>
          <cell r="L152">
            <v>0</v>
          </cell>
        </row>
        <row r="153">
          <cell r="D153" t="str">
            <v>TUB0202005</v>
          </cell>
          <cell r="E153" t="str">
            <v xml:space="preserve">TUBO PULIDO RECT. 2 X 1 X 0,90 mm X 6,00 mts </v>
          </cell>
          <cell r="F153">
            <v>6</v>
          </cell>
          <cell r="I153">
            <v>100</v>
          </cell>
          <cell r="J153">
            <v>1</v>
          </cell>
          <cell r="L153">
            <v>0</v>
          </cell>
        </row>
        <row r="154">
          <cell r="D154" t="str">
            <v>CEM1045001</v>
          </cell>
          <cell r="E154" t="str">
            <v>CEMENTO GRIS ENSACADO</v>
          </cell>
          <cell r="F154">
            <v>100</v>
          </cell>
          <cell r="I154">
            <v>100</v>
          </cell>
          <cell r="J154">
            <v>1</v>
          </cell>
          <cell r="L154">
            <v>0</v>
          </cell>
        </row>
        <row r="155">
          <cell r="D155" t="str">
            <v>CEM1045001</v>
          </cell>
          <cell r="E155" t="str">
            <v>CEMENTO GRIS ENSACADO</v>
          </cell>
          <cell r="F155">
            <v>200</v>
          </cell>
          <cell r="I155">
            <v>100</v>
          </cell>
          <cell r="J155">
            <v>1</v>
          </cell>
          <cell r="L155">
            <v>0</v>
          </cell>
        </row>
        <row r="156">
          <cell r="D156" t="str">
            <v>CEM1045001</v>
          </cell>
          <cell r="E156" t="str">
            <v>CEMENTO GRIS ENSACADO</v>
          </cell>
          <cell r="F156">
            <v>5</v>
          </cell>
          <cell r="I156">
            <v>100</v>
          </cell>
          <cell r="J156">
            <v>1</v>
          </cell>
          <cell r="L156">
            <v>0</v>
          </cell>
        </row>
        <row r="157">
          <cell r="D157" t="str">
            <v>CEM1045001</v>
          </cell>
          <cell r="E157" t="str">
            <v>CEMENTO GRIS ENSACADO</v>
          </cell>
          <cell r="F157">
            <v>10</v>
          </cell>
          <cell r="I157">
            <v>100</v>
          </cell>
          <cell r="J157">
            <v>1</v>
          </cell>
          <cell r="L157">
            <v>0</v>
          </cell>
        </row>
        <row r="158">
          <cell r="D158" t="str">
            <v>CER0100001</v>
          </cell>
          <cell r="E158" t="str">
            <v>CERCHAS 10mm X 6 mts</v>
          </cell>
          <cell r="F158">
            <v>14</v>
          </cell>
          <cell r="I158">
            <v>100</v>
          </cell>
          <cell r="J158">
            <v>1</v>
          </cell>
          <cell r="L158">
            <v>0</v>
          </cell>
        </row>
        <row r="159">
          <cell r="D159" t="str">
            <v>CER0100002</v>
          </cell>
          <cell r="E159" t="str">
            <v>CERCHAS 15mm X 6 mts</v>
          </cell>
          <cell r="F159">
            <v>16</v>
          </cell>
          <cell r="I159">
            <v>100</v>
          </cell>
          <cell r="J159">
            <v>1</v>
          </cell>
          <cell r="L159">
            <v>0</v>
          </cell>
        </row>
        <row r="160">
          <cell r="D160" t="str">
            <v>CEM1045001</v>
          </cell>
          <cell r="E160" t="str">
            <v>CEMENTO GRIS ENSACADO</v>
          </cell>
          <cell r="F160">
            <v>45</v>
          </cell>
          <cell r="I160">
            <v>100</v>
          </cell>
          <cell r="J160">
            <v>1</v>
          </cell>
          <cell r="L160">
            <v>0</v>
          </cell>
        </row>
        <row r="161">
          <cell r="D161" t="str">
            <v>CEM1045001</v>
          </cell>
          <cell r="E161" t="str">
            <v>CEMENTO GRIS ENSACADO</v>
          </cell>
          <cell r="F161">
            <v>3</v>
          </cell>
          <cell r="I161">
            <v>100</v>
          </cell>
          <cell r="J161">
            <v>1</v>
          </cell>
          <cell r="L161">
            <v>0</v>
          </cell>
        </row>
        <row r="162">
          <cell r="D162" t="str">
            <v>CEM1045001</v>
          </cell>
          <cell r="E162" t="str">
            <v>CEMENTO GRIS ENSACADO</v>
          </cell>
          <cell r="F162">
            <v>15</v>
          </cell>
          <cell r="I162">
            <v>100</v>
          </cell>
          <cell r="J162">
            <v>1</v>
          </cell>
          <cell r="L162">
            <v>0</v>
          </cell>
        </row>
        <row r="163">
          <cell r="D163" t="str">
            <v>CEM1045001</v>
          </cell>
          <cell r="E163" t="str">
            <v>CEMENTO GRIS ENSACADO</v>
          </cell>
          <cell r="F163">
            <v>180</v>
          </cell>
          <cell r="I163">
            <v>100</v>
          </cell>
          <cell r="J163">
            <v>1</v>
          </cell>
          <cell r="L163">
            <v>0</v>
          </cell>
        </row>
        <row r="164">
          <cell r="D164" t="str">
            <v>CEM1045001</v>
          </cell>
          <cell r="E164" t="str">
            <v>CEMENTO GRIS ENSACADO</v>
          </cell>
          <cell r="F164">
            <v>10</v>
          </cell>
          <cell r="I164">
            <v>100</v>
          </cell>
          <cell r="J164">
            <v>1</v>
          </cell>
          <cell r="L164">
            <v>0</v>
          </cell>
        </row>
        <row r="165">
          <cell r="D165" t="str">
            <v>TUB0302005</v>
          </cell>
          <cell r="E165" t="str">
            <v>TUBO ESTRUC. RECT. 80 X 40 X 2,00mm X 6,00 mts</v>
          </cell>
          <cell r="F165">
            <v>30</v>
          </cell>
          <cell r="I165">
            <v>100</v>
          </cell>
          <cell r="J165">
            <v>1</v>
          </cell>
          <cell r="L165">
            <v>0</v>
          </cell>
        </row>
        <row r="166">
          <cell r="D166" t="str">
            <v>TUB0403007</v>
          </cell>
          <cell r="E166" t="str">
            <v>TUBO GALV. C/ROSC. 3/4 X 6,00 mts ISO 150</v>
          </cell>
          <cell r="F166">
            <v>5</v>
          </cell>
          <cell r="I166">
            <v>100</v>
          </cell>
          <cell r="J166">
            <v>1</v>
          </cell>
          <cell r="L166">
            <v>0</v>
          </cell>
        </row>
        <row r="167">
          <cell r="D167" t="str">
            <v>CEM1045001</v>
          </cell>
          <cell r="E167" t="str">
            <v>CEMENTO GRIS ENSACADO</v>
          </cell>
          <cell r="F167">
            <v>90</v>
          </cell>
          <cell r="I167">
            <v>100</v>
          </cell>
          <cell r="J167">
            <v>1</v>
          </cell>
          <cell r="L167">
            <v>0</v>
          </cell>
        </row>
        <row r="168">
          <cell r="D168" t="str">
            <v>ALB0141001</v>
          </cell>
          <cell r="E168" t="str">
            <v xml:space="preserve">ALAMBRON 7,3 mm X 6 mts </v>
          </cell>
          <cell r="F168">
            <v>34</v>
          </cell>
          <cell r="I168">
            <v>100</v>
          </cell>
          <cell r="J168">
            <v>1</v>
          </cell>
          <cell r="L168">
            <v>0</v>
          </cell>
        </row>
        <row r="169">
          <cell r="D169" t="str">
            <v>CAB0114007</v>
          </cell>
          <cell r="E169" t="str">
            <v>CABILLA ESTRIADA 1/2 X 6,00 mts  SIDETUR</v>
          </cell>
          <cell r="F169">
            <v>60</v>
          </cell>
          <cell r="I169">
            <v>100</v>
          </cell>
          <cell r="J169">
            <v>1</v>
          </cell>
          <cell r="L169">
            <v>0</v>
          </cell>
        </row>
        <row r="170">
          <cell r="D170" t="str">
            <v>ALA0403001</v>
          </cell>
          <cell r="E170" t="str">
            <v>ALAMBRE GALVANIZADO CALIBRE 18</v>
          </cell>
          <cell r="F170">
            <v>13</v>
          </cell>
          <cell r="I170">
            <v>100</v>
          </cell>
          <cell r="J170">
            <v>1</v>
          </cell>
          <cell r="L170">
            <v>0</v>
          </cell>
        </row>
        <row r="171">
          <cell r="D171" t="str">
            <v>LAM1915001</v>
          </cell>
          <cell r="E171" t="str">
            <v>LOSACERO 6,10 X 0,79 mts CAL 22</v>
          </cell>
          <cell r="F171">
            <v>16</v>
          </cell>
          <cell r="I171">
            <v>100</v>
          </cell>
          <cell r="J171">
            <v>1</v>
          </cell>
          <cell r="L171">
            <v>0</v>
          </cell>
        </row>
        <row r="172">
          <cell r="D172" t="str">
            <v>TUB0903003</v>
          </cell>
          <cell r="E172" t="str">
            <v>TUBO ELEC. 3/4" X 3,00 mts OCC PLAST</v>
          </cell>
          <cell r="F172">
            <v>5</v>
          </cell>
          <cell r="I172">
            <v>100</v>
          </cell>
          <cell r="J172">
            <v>1</v>
          </cell>
          <cell r="L172">
            <v>0</v>
          </cell>
        </row>
        <row r="173">
          <cell r="D173" t="str">
            <v>CON0822006</v>
          </cell>
          <cell r="E173" t="str">
            <v>CODO A.N 3" X 90 NACIONAL</v>
          </cell>
          <cell r="F173">
            <v>2</v>
          </cell>
          <cell r="I173">
            <v>100</v>
          </cell>
          <cell r="J173">
            <v>1</v>
          </cell>
          <cell r="L173">
            <v>0</v>
          </cell>
        </row>
        <row r="174">
          <cell r="D174" t="str">
            <v>CON0822005</v>
          </cell>
          <cell r="E174" t="str">
            <v>CODO A.N 3" X 45 TUBRICA</v>
          </cell>
          <cell r="F174">
            <v>3</v>
          </cell>
          <cell r="I174">
            <v>100</v>
          </cell>
          <cell r="J174">
            <v>1</v>
          </cell>
          <cell r="L174">
            <v>0</v>
          </cell>
        </row>
        <row r="175">
          <cell r="D175" t="str">
            <v>CON0822002</v>
          </cell>
          <cell r="E175" t="str">
            <v xml:space="preserve">CODO A.N 2" X 90 BETAPLAST </v>
          </cell>
          <cell r="F175">
            <v>6</v>
          </cell>
          <cell r="I175">
            <v>100</v>
          </cell>
          <cell r="J175">
            <v>1</v>
          </cell>
          <cell r="L175">
            <v>0</v>
          </cell>
        </row>
        <row r="176">
          <cell r="D176" t="str">
            <v>CON0822008</v>
          </cell>
          <cell r="E176" t="str">
            <v>CODO A.N 4" X 90 TUBRICA</v>
          </cell>
          <cell r="F176">
            <v>1</v>
          </cell>
          <cell r="I176">
            <v>100</v>
          </cell>
          <cell r="J176">
            <v>1</v>
          </cell>
          <cell r="L176">
            <v>0</v>
          </cell>
        </row>
        <row r="177">
          <cell r="D177" t="str">
            <v>TUB0803002</v>
          </cell>
          <cell r="E177" t="str">
            <v>TUBO PVC A/N 2" X 1,8 mm x 3,00 mts PAVCO</v>
          </cell>
          <cell r="F177">
            <v>4</v>
          </cell>
          <cell r="I177">
            <v>100</v>
          </cell>
          <cell r="J177">
            <v>1</v>
          </cell>
          <cell r="L177">
            <v>0</v>
          </cell>
        </row>
        <row r="178">
          <cell r="D178" t="str">
            <v>TUB0803009</v>
          </cell>
          <cell r="E178" t="str">
            <v>TUBO PVC A/N 3" X 3,00 mts  OCC PLAST</v>
          </cell>
          <cell r="F178">
            <v>6</v>
          </cell>
          <cell r="I178">
            <v>100</v>
          </cell>
          <cell r="J178">
            <v>1</v>
          </cell>
          <cell r="L178">
            <v>0</v>
          </cell>
        </row>
        <row r="179">
          <cell r="D179" t="str">
            <v>TUB0803013</v>
          </cell>
          <cell r="E179" t="str">
            <v xml:space="preserve">TUBO PVC A/N 4" X 3,00 mts TUBRICA Amarrillo </v>
          </cell>
          <cell r="F179">
            <v>3</v>
          </cell>
          <cell r="I179">
            <v>100</v>
          </cell>
          <cell r="J179">
            <v>1</v>
          </cell>
          <cell r="L179">
            <v>0</v>
          </cell>
        </row>
        <row r="180">
          <cell r="D180" t="str">
            <v>CON0830002</v>
          </cell>
          <cell r="E180" t="str">
            <v>YEE A.N 4" TUBRICA</v>
          </cell>
          <cell r="F180">
            <v>2</v>
          </cell>
          <cell r="I180">
            <v>100</v>
          </cell>
          <cell r="J180">
            <v>1</v>
          </cell>
          <cell r="L180">
            <v>0</v>
          </cell>
        </row>
        <row r="181">
          <cell r="D181" t="str">
            <v>CEM1045001</v>
          </cell>
          <cell r="E181" t="str">
            <v>CEMENTO GRIS ENSACADO</v>
          </cell>
          <cell r="F181">
            <v>110</v>
          </cell>
          <cell r="I181">
            <v>100</v>
          </cell>
          <cell r="J181">
            <v>1</v>
          </cell>
          <cell r="L181">
            <v>0</v>
          </cell>
        </row>
        <row r="182">
          <cell r="D182" t="str">
            <v>ALA0403001</v>
          </cell>
          <cell r="E182" t="str">
            <v>ALAMBRE GALVANIZADO CALIBRE 18</v>
          </cell>
          <cell r="F182">
            <v>25</v>
          </cell>
          <cell r="I182">
            <v>100</v>
          </cell>
          <cell r="J182">
            <v>1</v>
          </cell>
          <cell r="L182">
            <v>0</v>
          </cell>
        </row>
        <row r="183">
          <cell r="D183" t="str">
            <v>CAB0114005</v>
          </cell>
          <cell r="E183" t="str">
            <v>CABILLA ESTRIADA  3/8 X 6,00 mts SIDETUR</v>
          </cell>
          <cell r="F183">
            <v>50</v>
          </cell>
          <cell r="I183">
            <v>100</v>
          </cell>
          <cell r="J183">
            <v>1</v>
          </cell>
          <cell r="L183">
            <v>0</v>
          </cell>
        </row>
        <row r="184">
          <cell r="D184" t="str">
            <v>CAB0114007</v>
          </cell>
          <cell r="E184" t="str">
            <v>CABILLA ESTRIADA 1/2 X 6,00 mts  SIDETUR</v>
          </cell>
          <cell r="F184">
            <v>100</v>
          </cell>
          <cell r="I184">
            <v>100</v>
          </cell>
          <cell r="J184">
            <v>1</v>
          </cell>
          <cell r="L184">
            <v>0</v>
          </cell>
        </row>
        <row r="185">
          <cell r="D185" t="str">
            <v>CER0100001</v>
          </cell>
          <cell r="E185" t="str">
            <v>CERCHAS 10mm X 6 mts</v>
          </cell>
          <cell r="F185">
            <v>48</v>
          </cell>
          <cell r="I185">
            <v>100</v>
          </cell>
          <cell r="J185">
            <v>1</v>
          </cell>
          <cell r="L185">
            <v>0</v>
          </cell>
        </row>
        <row r="186">
          <cell r="D186" t="str">
            <v>CON0923007</v>
          </cell>
          <cell r="E186" t="str">
            <v>CURVA CONDUIT 3/4" X 90 REFORZADO</v>
          </cell>
          <cell r="F186">
            <v>80</v>
          </cell>
          <cell r="I186">
            <v>100</v>
          </cell>
          <cell r="J186">
            <v>1</v>
          </cell>
          <cell r="L186">
            <v>0</v>
          </cell>
        </row>
        <row r="187">
          <cell r="D187" t="str">
            <v>MAL0138003</v>
          </cell>
          <cell r="E187" t="str">
            <v>MALLA TRUCKSON 6 X 8 X 100 mts</v>
          </cell>
          <cell r="F187">
            <v>2</v>
          </cell>
          <cell r="I187">
            <v>100</v>
          </cell>
          <cell r="J187">
            <v>1</v>
          </cell>
          <cell r="L187">
            <v>0</v>
          </cell>
        </row>
        <row r="188">
          <cell r="D188" t="str">
            <v>TUB0903003</v>
          </cell>
          <cell r="E188" t="str">
            <v>TUBO ELEC. 3/4" X 3,00 mts OCC PLAST</v>
          </cell>
          <cell r="F188">
            <v>50</v>
          </cell>
          <cell r="I188">
            <v>100</v>
          </cell>
          <cell r="J188">
            <v>1</v>
          </cell>
          <cell r="L188">
            <v>0</v>
          </cell>
        </row>
        <row r="189">
          <cell r="D189" t="str">
            <v>LAM0413003</v>
          </cell>
          <cell r="E189" t="str">
            <v>LAMINA GALV. LISA 0,17 X 0.80 X 3,66 m (ZINC)</v>
          </cell>
          <cell r="F189">
            <v>3</v>
          </cell>
          <cell r="I189">
            <v>100</v>
          </cell>
          <cell r="J189">
            <v>1</v>
          </cell>
          <cell r="L189">
            <v>0</v>
          </cell>
        </row>
        <row r="190">
          <cell r="D190" t="str">
            <v>CEM1045001</v>
          </cell>
          <cell r="E190" t="str">
            <v>CEMENTO GRIS ENSACADO</v>
          </cell>
          <cell r="F190">
            <v>5</v>
          </cell>
          <cell r="I190">
            <v>100</v>
          </cell>
          <cell r="J190">
            <v>1</v>
          </cell>
          <cell r="L190">
            <v>0</v>
          </cell>
        </row>
        <row r="191">
          <cell r="D191" t="str">
            <v>CEM1045001</v>
          </cell>
          <cell r="E191" t="str">
            <v>CEMENTO GRIS ENSACADO</v>
          </cell>
          <cell r="F191">
            <v>5</v>
          </cell>
          <cell r="I191">
            <v>100</v>
          </cell>
          <cell r="J191">
            <v>1</v>
          </cell>
          <cell r="L191">
            <v>0</v>
          </cell>
        </row>
        <row r="192">
          <cell r="D192" t="str">
            <v>VIG0109004</v>
          </cell>
          <cell r="E192" t="str">
            <v xml:space="preserve">VIGA VP 400 X 6,90 mts </v>
          </cell>
          <cell r="F192">
            <v>2</v>
          </cell>
          <cell r="I192">
            <v>100</v>
          </cell>
          <cell r="J192">
            <v>1</v>
          </cell>
          <cell r="L192">
            <v>0</v>
          </cell>
        </row>
        <row r="193">
          <cell r="D193" t="str">
            <v>CEM1045001</v>
          </cell>
          <cell r="E193" t="str">
            <v>CEMENTO GRIS ENSACADO</v>
          </cell>
          <cell r="F193">
            <v>10</v>
          </cell>
          <cell r="I193">
            <v>100</v>
          </cell>
          <cell r="J193">
            <v>1</v>
          </cell>
          <cell r="L193">
            <v>0</v>
          </cell>
        </row>
        <row r="194">
          <cell r="D194" t="str">
            <v>LAM0413001</v>
          </cell>
          <cell r="E194" t="str">
            <v>LAMINA GALV. LISA CAL. 26-0,40 mm X 1200 X 2,40 m</v>
          </cell>
          <cell r="F194">
            <v>20</v>
          </cell>
          <cell r="I194">
            <v>100</v>
          </cell>
          <cell r="J194">
            <v>1</v>
          </cell>
          <cell r="L194">
            <v>0</v>
          </cell>
        </row>
        <row r="195">
          <cell r="D195" t="str">
            <v>CAB0114007</v>
          </cell>
          <cell r="E195" t="str">
            <v>CABILLA ESTRIADA 1/2 X 6,00 mts  SIDETUR</v>
          </cell>
          <cell r="F195">
            <v>120</v>
          </cell>
          <cell r="I195">
            <v>100</v>
          </cell>
          <cell r="J195">
            <v>1</v>
          </cell>
          <cell r="L195">
            <v>0</v>
          </cell>
        </row>
        <row r="196">
          <cell r="D196" t="str">
            <v>CEM1045001</v>
          </cell>
          <cell r="E196" t="str">
            <v>CEMENTO GRIS ENSACADO</v>
          </cell>
          <cell r="F196">
            <v>32</v>
          </cell>
          <cell r="I196">
            <v>100</v>
          </cell>
          <cell r="J196">
            <v>1</v>
          </cell>
          <cell r="L196">
            <v>0</v>
          </cell>
        </row>
        <row r="197">
          <cell r="D197" t="str">
            <v>TUB0403007</v>
          </cell>
          <cell r="E197" t="str">
            <v>TUBO GALV. C/ROSC. 3/4 X 6,00 mts ISO 150</v>
          </cell>
          <cell r="F197">
            <v>10</v>
          </cell>
          <cell r="I197">
            <v>100</v>
          </cell>
          <cell r="J197">
            <v>1</v>
          </cell>
          <cell r="L197">
            <v>0</v>
          </cell>
        </row>
        <row r="198">
          <cell r="D198" t="str">
            <v>CAB0114007</v>
          </cell>
          <cell r="E198" t="str">
            <v>CABILLA ESTRIADA 1/2 X 6,00 mts  SIDETUR</v>
          </cell>
          <cell r="F198">
            <v>15</v>
          </cell>
          <cell r="I198">
            <v>100</v>
          </cell>
          <cell r="J198">
            <v>1</v>
          </cell>
          <cell r="L198">
            <v>0</v>
          </cell>
        </row>
        <row r="199">
          <cell r="D199" t="str">
            <v>CAB0114005</v>
          </cell>
          <cell r="E199" t="str">
            <v>CABILLA ESTRIADA  3/8 X 6,00 mts SIDETUR</v>
          </cell>
          <cell r="F199">
            <v>15</v>
          </cell>
          <cell r="I199">
            <v>100</v>
          </cell>
          <cell r="J199">
            <v>1</v>
          </cell>
          <cell r="L199">
            <v>0</v>
          </cell>
        </row>
        <row r="200">
          <cell r="D200" t="str">
            <v>ALA0403001</v>
          </cell>
          <cell r="E200" t="str">
            <v>ALAMBRE GALVANIZADO CALIBRE 18</v>
          </cell>
          <cell r="F200">
            <v>15</v>
          </cell>
          <cell r="I200">
            <v>100</v>
          </cell>
          <cell r="J200">
            <v>1</v>
          </cell>
          <cell r="L200">
            <v>0</v>
          </cell>
        </row>
        <row r="201">
          <cell r="D201" t="str">
            <v>CAB0114009</v>
          </cell>
          <cell r="E201" t="str">
            <v>CABILLA ESTRIADA 5/8 X 12,00 mts SIDETUR</v>
          </cell>
          <cell r="F201">
            <v>10</v>
          </cell>
          <cell r="I201">
            <v>100</v>
          </cell>
          <cell r="J201">
            <v>1</v>
          </cell>
          <cell r="L201">
            <v>0</v>
          </cell>
        </row>
        <row r="202">
          <cell r="D202" t="str">
            <v>ALA0403001</v>
          </cell>
          <cell r="E202" t="str">
            <v>ALAMBRE GALVANIZADO CALIBRE 18</v>
          </cell>
          <cell r="F202">
            <v>25</v>
          </cell>
          <cell r="I202">
            <v>100</v>
          </cell>
          <cell r="J202">
            <v>1</v>
          </cell>
          <cell r="L202">
            <v>0</v>
          </cell>
        </row>
        <row r="203">
          <cell r="D203" t="str">
            <v>CEM1045001</v>
          </cell>
          <cell r="E203" t="str">
            <v>CEMENTO GRIS ENSACADO</v>
          </cell>
          <cell r="F203">
            <v>20</v>
          </cell>
          <cell r="I203">
            <v>100</v>
          </cell>
          <cell r="J203">
            <v>1</v>
          </cell>
          <cell r="L203">
            <v>0</v>
          </cell>
        </row>
        <row r="204">
          <cell r="D204" t="str">
            <v>ALA0403001</v>
          </cell>
          <cell r="E204" t="str">
            <v>ALAMBRE GALVANIZADO CALIBRE 18</v>
          </cell>
          <cell r="F204">
            <v>1</v>
          </cell>
          <cell r="I204">
            <v>100</v>
          </cell>
          <cell r="J204">
            <v>1</v>
          </cell>
          <cell r="L204">
            <v>0</v>
          </cell>
        </row>
        <row r="205">
          <cell r="D205" t="str">
            <v>LAM0413003</v>
          </cell>
          <cell r="E205" t="str">
            <v>LAMINA GALV. LISA 0,17 X 0.80 X 3,66 m (ZINC)</v>
          </cell>
          <cell r="F205">
            <v>13</v>
          </cell>
          <cell r="I205">
            <v>100</v>
          </cell>
          <cell r="J205">
            <v>1</v>
          </cell>
          <cell r="L205">
            <v>0</v>
          </cell>
        </row>
        <row r="206">
          <cell r="D206" t="str">
            <v>VIG0106005</v>
          </cell>
          <cell r="E206" t="str">
            <v xml:space="preserve">VIGA IPE 100 X 12 mts </v>
          </cell>
          <cell r="F206">
            <v>1</v>
          </cell>
          <cell r="I206">
            <v>100</v>
          </cell>
          <cell r="J206">
            <v>1</v>
          </cell>
          <cell r="L206">
            <v>0</v>
          </cell>
        </row>
        <row r="207">
          <cell r="D207" t="str">
            <v>VIG0106006</v>
          </cell>
          <cell r="E207" t="str">
            <v xml:space="preserve">VIGA IPE 100 X 6 mts </v>
          </cell>
          <cell r="G207">
            <v>2</v>
          </cell>
          <cell r="I207">
            <v>100</v>
          </cell>
          <cell r="J207">
            <v>1</v>
          </cell>
          <cell r="L207">
            <v>0</v>
          </cell>
        </row>
        <row r="208">
          <cell r="D208" t="str">
            <v>CAB0114007</v>
          </cell>
          <cell r="E208" t="str">
            <v>CABILLA ESTRIADA 1/2 X 6,00 mts  SIDETUR</v>
          </cell>
          <cell r="F208">
            <v>15</v>
          </cell>
          <cell r="I208">
            <v>100</v>
          </cell>
          <cell r="J208">
            <v>1</v>
          </cell>
          <cell r="L208">
            <v>0</v>
          </cell>
        </row>
        <row r="209">
          <cell r="D209" t="str">
            <v>VIG0106006</v>
          </cell>
          <cell r="E209" t="str">
            <v xml:space="preserve">VIGA IPE 100 X 6 mts </v>
          </cell>
          <cell r="F209">
            <v>1</v>
          </cell>
          <cell r="I209">
            <v>100</v>
          </cell>
          <cell r="J209">
            <v>1</v>
          </cell>
          <cell r="L209">
            <v>0</v>
          </cell>
        </row>
        <row r="210">
          <cell r="D210" t="str">
            <v>CORET</v>
          </cell>
          <cell r="E210" t="str">
            <v>SERVICIO DE CORTE</v>
          </cell>
          <cell r="F210">
            <v>0</v>
          </cell>
          <cell r="I210">
            <v>100</v>
          </cell>
          <cell r="J210">
            <v>1</v>
          </cell>
          <cell r="L210">
            <v>0</v>
          </cell>
        </row>
        <row r="211">
          <cell r="D211" t="str">
            <v>CAB0114007</v>
          </cell>
          <cell r="E211" t="str">
            <v>CABILLA ESTRIADA 1/2 X 6,00 mts  SIDETUR</v>
          </cell>
          <cell r="F211">
            <v>45</v>
          </cell>
          <cell r="I211">
            <v>100</v>
          </cell>
          <cell r="J211">
            <v>1</v>
          </cell>
          <cell r="L211">
            <v>0</v>
          </cell>
        </row>
        <row r="212">
          <cell r="D212" t="str">
            <v>PER0111007</v>
          </cell>
          <cell r="E212" t="str">
            <v>ANGULO 65 X 6mm X 6,00 mts</v>
          </cell>
          <cell r="F212">
            <v>22</v>
          </cell>
          <cell r="I212">
            <v>100</v>
          </cell>
          <cell r="J212">
            <v>1</v>
          </cell>
          <cell r="L212">
            <v>0</v>
          </cell>
        </row>
        <row r="213">
          <cell r="D213" t="str">
            <v>CAB0114005</v>
          </cell>
          <cell r="E213" t="str">
            <v>CABILLA ESTRIADA  3/8 X 6,00 mts SIDETUR</v>
          </cell>
          <cell r="F213">
            <v>50</v>
          </cell>
          <cell r="I213">
            <v>100</v>
          </cell>
          <cell r="J213">
            <v>1</v>
          </cell>
          <cell r="L213">
            <v>0</v>
          </cell>
        </row>
        <row r="214">
          <cell r="D214" t="str">
            <v>CAB0114007</v>
          </cell>
          <cell r="E214" t="str">
            <v>CABILLA ESTRIADA 1/2 X 6,00 mts  SIDETUR</v>
          </cell>
          <cell r="F214">
            <v>30</v>
          </cell>
          <cell r="I214">
            <v>100</v>
          </cell>
          <cell r="J214">
            <v>1</v>
          </cell>
          <cell r="L214">
            <v>0</v>
          </cell>
        </row>
        <row r="215">
          <cell r="D215" t="str">
            <v>MAL0138003</v>
          </cell>
          <cell r="E215" t="str">
            <v>MALLA TRUCKSON 6 X 8 X 100 mts</v>
          </cell>
          <cell r="F215">
            <v>1</v>
          </cell>
          <cell r="I215">
            <v>100</v>
          </cell>
          <cell r="J215">
            <v>1</v>
          </cell>
          <cell r="L215">
            <v>0</v>
          </cell>
        </row>
        <row r="216">
          <cell r="D216" t="str">
            <v>TUB0301017</v>
          </cell>
          <cell r="E216" t="str">
            <v>TUBO ESTRUC. CUAD. 100 X 100 X 2,5mm X 6,00 mts</v>
          </cell>
          <cell r="F216">
            <v>6</v>
          </cell>
          <cell r="I216">
            <v>100</v>
          </cell>
          <cell r="J216">
            <v>1</v>
          </cell>
          <cell r="L216">
            <v>0</v>
          </cell>
        </row>
        <row r="217">
          <cell r="D217" t="str">
            <v>PER0112001</v>
          </cell>
          <cell r="E217" t="str">
            <v>PLETINA 1 X 3/16 X 6 mts</v>
          </cell>
          <cell r="F217">
            <v>2</v>
          </cell>
          <cell r="I217">
            <v>100</v>
          </cell>
          <cell r="J217">
            <v>1</v>
          </cell>
          <cell r="L217">
            <v>0</v>
          </cell>
        </row>
        <row r="218">
          <cell r="D218" t="str">
            <v>TUB0302005</v>
          </cell>
          <cell r="E218" t="str">
            <v>TUBO ESTRUC. RECT. 80 X 40 X 2,00mm X 6,00 mts</v>
          </cell>
          <cell r="F218">
            <v>11</v>
          </cell>
          <cell r="I218">
            <v>100</v>
          </cell>
          <cell r="J218">
            <v>1</v>
          </cell>
          <cell r="L218">
            <v>0</v>
          </cell>
        </row>
        <row r="219">
          <cell r="D219" t="str">
            <v>FLA0101001</v>
          </cell>
          <cell r="E219" t="str">
            <v>FLANCHE 20 X 20 X 12 mm</v>
          </cell>
          <cell r="F219">
            <v>16</v>
          </cell>
          <cell r="I219">
            <v>100</v>
          </cell>
          <cell r="J219">
            <v>1</v>
          </cell>
          <cell r="L219">
            <v>0</v>
          </cell>
        </row>
        <row r="220">
          <cell r="D220" t="str">
            <v>CER0100001</v>
          </cell>
          <cell r="E220" t="str">
            <v>CERCHAS 10mm X 6 mts</v>
          </cell>
          <cell r="G220">
            <v>45</v>
          </cell>
          <cell r="H220">
            <v>6.7</v>
          </cell>
          <cell r="I220">
            <v>100</v>
          </cell>
          <cell r="J220">
            <v>0.8</v>
          </cell>
          <cell r="K220">
            <v>20</v>
          </cell>
          <cell r="L220">
            <v>8.375</v>
          </cell>
        </row>
        <row r="221">
          <cell r="D221" t="str">
            <v>CER0100002</v>
          </cell>
          <cell r="E221" t="str">
            <v>CERCHAS 15mm X 6 mts</v>
          </cell>
          <cell r="G221">
            <v>45</v>
          </cell>
          <cell r="H221">
            <v>7</v>
          </cell>
          <cell r="I221">
            <v>100</v>
          </cell>
          <cell r="J221">
            <v>0.8</v>
          </cell>
          <cell r="K221">
            <v>20</v>
          </cell>
          <cell r="L221">
            <v>8.75</v>
          </cell>
        </row>
        <row r="222">
          <cell r="D222" t="str">
            <v>PER0111007</v>
          </cell>
          <cell r="E222" t="str">
            <v>ANGULO 65 X 6mm X 6,00 mts</v>
          </cell>
          <cell r="G222">
            <v>22</v>
          </cell>
          <cell r="H222">
            <v>43</v>
          </cell>
          <cell r="I222">
            <v>100</v>
          </cell>
          <cell r="J222">
            <v>0.92</v>
          </cell>
          <cell r="K222">
            <v>8</v>
          </cell>
          <cell r="L222">
            <v>46.739130434782609</v>
          </cell>
        </row>
        <row r="223">
          <cell r="D223" t="str">
            <v>CEM1045001</v>
          </cell>
          <cell r="E223" t="str">
            <v>CEMENTO GRIS ENSACADO</v>
          </cell>
          <cell r="G223">
            <v>720</v>
          </cell>
          <cell r="H223">
            <v>6.5</v>
          </cell>
          <cell r="I223">
            <v>100</v>
          </cell>
          <cell r="J223">
            <v>0.7</v>
          </cell>
          <cell r="K223">
            <v>30</v>
          </cell>
          <cell r="L223">
            <v>9.2857142857142865</v>
          </cell>
        </row>
        <row r="224">
          <cell r="D224" t="str">
            <v>FER1051002</v>
          </cell>
          <cell r="E224" t="str">
            <v>ELECTRODO 532 7 1/8 GRICON</v>
          </cell>
          <cell r="F224">
            <v>54</v>
          </cell>
          <cell r="I224">
            <v>100</v>
          </cell>
          <cell r="J224">
            <v>1</v>
          </cell>
          <cell r="L224">
            <v>0</v>
          </cell>
        </row>
        <row r="225">
          <cell r="D225" t="str">
            <v>MAL0138003</v>
          </cell>
          <cell r="E225" t="str">
            <v>MALLA TRUCKSON 6 X 8 X 100 mts</v>
          </cell>
          <cell r="F225">
            <v>1</v>
          </cell>
          <cell r="I225">
            <v>100</v>
          </cell>
          <cell r="J225">
            <v>1</v>
          </cell>
          <cell r="L225">
            <v>0</v>
          </cell>
        </row>
        <row r="226">
          <cell r="D226" t="str">
            <v>CEM1045001</v>
          </cell>
          <cell r="E226" t="str">
            <v>CEMENTO GRIS ENSACADO</v>
          </cell>
          <cell r="F226">
            <v>100</v>
          </cell>
          <cell r="I226">
            <v>100</v>
          </cell>
          <cell r="J226">
            <v>1</v>
          </cell>
          <cell r="L226">
            <v>0</v>
          </cell>
        </row>
        <row r="227">
          <cell r="D227" t="str">
            <v>LAM0413003</v>
          </cell>
          <cell r="E227" t="str">
            <v>LAMINA GALV. LISA 0,17 X 0.80 X 3,66 m (ZINC)</v>
          </cell>
          <cell r="F227">
            <v>10</v>
          </cell>
          <cell r="I227">
            <v>100</v>
          </cell>
          <cell r="J227">
            <v>1</v>
          </cell>
          <cell r="L227">
            <v>0</v>
          </cell>
        </row>
        <row r="228">
          <cell r="D228" t="str">
            <v>CAB0114005</v>
          </cell>
          <cell r="E228" t="str">
            <v>CABILLA ESTRIADA  3/8 X 6,00 mts SIDETUR</v>
          </cell>
          <cell r="F228">
            <v>38</v>
          </cell>
          <cell r="I228">
            <v>100</v>
          </cell>
          <cell r="J228">
            <v>1</v>
          </cell>
          <cell r="L228">
            <v>0</v>
          </cell>
        </row>
        <row r="229">
          <cell r="D229" t="str">
            <v>CEM1045001</v>
          </cell>
          <cell r="E229" t="str">
            <v>CEMENTO GRIS ENSACADO</v>
          </cell>
          <cell r="F229">
            <v>20</v>
          </cell>
          <cell r="I229">
            <v>100</v>
          </cell>
          <cell r="J229">
            <v>1</v>
          </cell>
          <cell r="L229">
            <v>0</v>
          </cell>
        </row>
        <row r="230">
          <cell r="D230" t="str">
            <v>ALA0403001</v>
          </cell>
          <cell r="E230" t="str">
            <v>ALAMBRE GALVANIZADO CALIBRE 18</v>
          </cell>
          <cell r="F230">
            <v>2</v>
          </cell>
          <cell r="I230">
            <v>100</v>
          </cell>
          <cell r="J230">
            <v>1</v>
          </cell>
          <cell r="L230">
            <v>0</v>
          </cell>
        </row>
        <row r="231">
          <cell r="D231" t="str">
            <v>MAL0138003</v>
          </cell>
          <cell r="E231" t="str">
            <v>MALLA TRUCKSON 6 X 8 X 100 mts</v>
          </cell>
          <cell r="F231">
            <v>1</v>
          </cell>
          <cell r="I231">
            <v>100</v>
          </cell>
          <cell r="J231">
            <v>1</v>
          </cell>
          <cell r="L231">
            <v>0</v>
          </cell>
        </row>
        <row r="232">
          <cell r="D232" t="str">
            <v>CER0100002</v>
          </cell>
          <cell r="E232" t="str">
            <v>CERCHAS 15mm X 6 mts</v>
          </cell>
          <cell r="F232">
            <v>4</v>
          </cell>
          <cell r="I232">
            <v>100</v>
          </cell>
          <cell r="J232">
            <v>1</v>
          </cell>
          <cell r="L232">
            <v>0</v>
          </cell>
        </row>
        <row r="233">
          <cell r="D233" t="str">
            <v>CER0100001</v>
          </cell>
          <cell r="E233" t="str">
            <v>CERCHAS 10mm X 6 mts</v>
          </cell>
          <cell r="F233">
            <v>1</v>
          </cell>
          <cell r="I233">
            <v>100</v>
          </cell>
          <cell r="J233">
            <v>1</v>
          </cell>
          <cell r="L233">
            <v>0</v>
          </cell>
        </row>
        <row r="234">
          <cell r="D234" t="str">
            <v>ZUN0140004</v>
          </cell>
          <cell r="E234" t="str">
            <v>ZUNCHO 12 X 15 X 5,20 mm (Paquete 20 und)</v>
          </cell>
          <cell r="F234">
            <v>8</v>
          </cell>
          <cell r="I234">
            <v>100</v>
          </cell>
          <cell r="J234">
            <v>1</v>
          </cell>
          <cell r="L234">
            <v>0</v>
          </cell>
        </row>
        <row r="235">
          <cell r="D235" t="str">
            <v>TUB0202004</v>
          </cell>
          <cell r="E235" t="str">
            <v xml:space="preserve">TUBO PULIDO RECT. 2 X 1 X 0,70 mm X 6,00 mts </v>
          </cell>
          <cell r="F235">
            <v>3</v>
          </cell>
          <cell r="I235">
            <v>100</v>
          </cell>
          <cell r="J235">
            <v>1</v>
          </cell>
          <cell r="L235">
            <v>0</v>
          </cell>
        </row>
        <row r="236">
          <cell r="D236" t="str">
            <v>CEM1045001</v>
          </cell>
          <cell r="E236" t="str">
            <v>CEMENTO GRIS ENSACADO</v>
          </cell>
          <cell r="F236">
            <v>45</v>
          </cell>
          <cell r="I236">
            <v>100</v>
          </cell>
          <cell r="J236">
            <v>1</v>
          </cell>
          <cell r="L236">
            <v>0</v>
          </cell>
        </row>
        <row r="237">
          <cell r="D237" t="str">
            <v>MAL0138003</v>
          </cell>
          <cell r="E237" t="str">
            <v>MALLA TRUCKSON 6 X 8 X 100 mts</v>
          </cell>
          <cell r="F237">
            <v>1</v>
          </cell>
          <cell r="I237">
            <v>100</v>
          </cell>
          <cell r="J237">
            <v>1</v>
          </cell>
          <cell r="L237">
            <v>0</v>
          </cell>
        </row>
        <row r="238">
          <cell r="D238" t="str">
            <v>TUB0302003</v>
          </cell>
          <cell r="E238" t="str">
            <v xml:space="preserve">TUBO ESTRUC. RECT. 160 X 65 X 3,00mm X 12,00 mts  </v>
          </cell>
          <cell r="F238">
            <v>6</v>
          </cell>
          <cell r="I238">
            <v>100</v>
          </cell>
          <cell r="J238">
            <v>1</v>
          </cell>
          <cell r="L238">
            <v>0</v>
          </cell>
        </row>
        <row r="239">
          <cell r="D239" t="str">
            <v>FER1051003</v>
          </cell>
          <cell r="E239" t="str">
            <v>ELECTRODO 6013 1/8 KEEP DRY</v>
          </cell>
          <cell r="F239">
            <v>4</v>
          </cell>
          <cell r="I239">
            <v>100</v>
          </cell>
          <cell r="J239">
            <v>1</v>
          </cell>
          <cell r="L239">
            <v>0</v>
          </cell>
        </row>
        <row r="240">
          <cell r="D240" t="str">
            <v>CORET</v>
          </cell>
          <cell r="E240" t="str">
            <v>SERVICIO DE CORTE</v>
          </cell>
          <cell r="F240">
            <v>1</v>
          </cell>
          <cell r="I240">
            <v>100</v>
          </cell>
          <cell r="J240">
            <v>1</v>
          </cell>
          <cell r="L240">
            <v>0</v>
          </cell>
        </row>
        <row r="241">
          <cell r="D241" t="str">
            <v>CAB0114010</v>
          </cell>
          <cell r="E241" t="str">
            <v>CABILLA ESTRIADA 1/2 X 12,00 mts  SIDOR</v>
          </cell>
          <cell r="F241">
            <v>50</v>
          </cell>
          <cell r="I241">
            <v>100</v>
          </cell>
          <cell r="J241">
            <v>1</v>
          </cell>
          <cell r="L241">
            <v>0</v>
          </cell>
        </row>
        <row r="242">
          <cell r="D242" t="str">
            <v>CAB0114009</v>
          </cell>
          <cell r="E242" t="str">
            <v>CABILLA ESTRIADA 5/8 X 12,00 mts SIDETUR</v>
          </cell>
          <cell r="F242">
            <v>50</v>
          </cell>
          <cell r="I242">
            <v>100</v>
          </cell>
          <cell r="J242">
            <v>1</v>
          </cell>
          <cell r="L242">
            <v>0</v>
          </cell>
        </row>
        <row r="243">
          <cell r="D243" t="str">
            <v>CEM1045001</v>
          </cell>
          <cell r="E243" t="str">
            <v>CEMENTO GRIS ENSACADO</v>
          </cell>
          <cell r="F243">
            <v>60</v>
          </cell>
          <cell r="I243">
            <v>100</v>
          </cell>
          <cell r="J243">
            <v>1</v>
          </cell>
          <cell r="L243">
            <v>0</v>
          </cell>
        </row>
        <row r="244">
          <cell r="D244" t="str">
            <v>ALA0403001</v>
          </cell>
          <cell r="E244" t="str">
            <v>ALAMBRE GALVANIZADO CALIBRE 18</v>
          </cell>
          <cell r="F244">
            <v>100</v>
          </cell>
          <cell r="I244">
            <v>100</v>
          </cell>
          <cell r="J244">
            <v>1</v>
          </cell>
          <cell r="L244">
            <v>0</v>
          </cell>
        </row>
        <row r="245">
          <cell r="D245" t="str">
            <v>ALB0141004</v>
          </cell>
          <cell r="E245" t="str">
            <v xml:space="preserve">ALAMBRON 4,5 mm X 6 mts </v>
          </cell>
          <cell r="F245">
            <v>1400</v>
          </cell>
          <cell r="I245">
            <v>100</v>
          </cell>
          <cell r="J245">
            <v>1</v>
          </cell>
          <cell r="L245">
            <v>0</v>
          </cell>
        </row>
        <row r="246">
          <cell r="D246" t="str">
            <v>CEM1045001</v>
          </cell>
          <cell r="E246" t="str">
            <v>CEMENTO GRIS ENSACADO</v>
          </cell>
          <cell r="F246">
            <v>100</v>
          </cell>
          <cell r="I246">
            <v>100</v>
          </cell>
          <cell r="J246">
            <v>1</v>
          </cell>
          <cell r="L246">
            <v>0</v>
          </cell>
        </row>
        <row r="247">
          <cell r="D247" t="str">
            <v>TUB0403001</v>
          </cell>
          <cell r="E247" t="str">
            <v xml:space="preserve">TUBO GALV.  1/2 X 2,3mm X 5,80 mts  </v>
          </cell>
          <cell r="F247">
            <v>2</v>
          </cell>
          <cell r="I247">
            <v>100</v>
          </cell>
          <cell r="J247">
            <v>1</v>
          </cell>
          <cell r="L247">
            <v>0</v>
          </cell>
        </row>
        <row r="248">
          <cell r="D248" t="str">
            <v>CEM1045001</v>
          </cell>
          <cell r="E248" t="str">
            <v>CEMENTO GRIS ENSACADO</v>
          </cell>
          <cell r="F248">
            <v>45</v>
          </cell>
          <cell r="I248">
            <v>100</v>
          </cell>
          <cell r="J248">
            <v>1</v>
          </cell>
          <cell r="L248">
            <v>0</v>
          </cell>
        </row>
        <row r="249">
          <cell r="D249" t="str">
            <v>CEM1045001</v>
          </cell>
          <cell r="E249" t="str">
            <v>CEMENTO GRIS ENSACADO</v>
          </cell>
          <cell r="F249">
            <v>20</v>
          </cell>
          <cell r="I249">
            <v>100</v>
          </cell>
          <cell r="J249">
            <v>1</v>
          </cell>
          <cell r="L249">
            <v>0</v>
          </cell>
        </row>
        <row r="250">
          <cell r="D250" t="str">
            <v>CEM1045001</v>
          </cell>
          <cell r="E250" t="str">
            <v>CEMENTO GRIS ENSACADO</v>
          </cell>
          <cell r="F250">
            <v>18</v>
          </cell>
          <cell r="I250">
            <v>100</v>
          </cell>
          <cell r="J250">
            <v>1</v>
          </cell>
          <cell r="L250">
            <v>0</v>
          </cell>
        </row>
        <row r="251">
          <cell r="D251" t="str">
            <v>CEM1045001</v>
          </cell>
          <cell r="E251" t="str">
            <v>CEMENTO GRIS ENSACADO</v>
          </cell>
          <cell r="F251">
            <v>30</v>
          </cell>
          <cell r="I251">
            <v>100</v>
          </cell>
          <cell r="J251">
            <v>1</v>
          </cell>
          <cell r="L251">
            <v>0</v>
          </cell>
        </row>
        <row r="252">
          <cell r="D252" t="str">
            <v>LAM0413003</v>
          </cell>
          <cell r="E252" t="str">
            <v>LAMINA GALV. LISA 0,17 X 0.80 X 3,66 m (ZINC)</v>
          </cell>
          <cell r="F252">
            <v>20</v>
          </cell>
          <cell r="I252">
            <v>100</v>
          </cell>
          <cell r="J252">
            <v>1</v>
          </cell>
          <cell r="L252">
            <v>0</v>
          </cell>
        </row>
        <row r="253">
          <cell r="D253" t="str">
            <v>CAB0114007</v>
          </cell>
          <cell r="E253" t="str">
            <v>CABILLA ESTRIADA 1/2 X 6,00 mts  SIDETUR</v>
          </cell>
          <cell r="F253">
            <v>15</v>
          </cell>
          <cell r="I253">
            <v>100</v>
          </cell>
          <cell r="J253">
            <v>1</v>
          </cell>
          <cell r="L253">
            <v>0</v>
          </cell>
        </row>
        <row r="254">
          <cell r="D254" t="str">
            <v>LAM0114001</v>
          </cell>
          <cell r="E254" t="str">
            <v xml:space="preserve">LAMINA EST. 2,50 mm X 1010 X 2,40 m </v>
          </cell>
          <cell r="F254">
            <v>2</v>
          </cell>
          <cell r="I254">
            <v>100</v>
          </cell>
          <cell r="J254">
            <v>1</v>
          </cell>
          <cell r="L254">
            <v>0</v>
          </cell>
        </row>
        <row r="255">
          <cell r="D255" t="str">
            <v>TUB1403006</v>
          </cell>
          <cell r="E255" t="str">
            <v xml:space="preserve">TUBO VENT. 3 1/2" X 2mm X 6,00 mts </v>
          </cell>
          <cell r="F255">
            <v>1</v>
          </cell>
          <cell r="I255">
            <v>100</v>
          </cell>
          <cell r="J255">
            <v>1</v>
          </cell>
          <cell r="L255">
            <v>0</v>
          </cell>
        </row>
        <row r="256">
          <cell r="D256" t="str">
            <v>TUB1403003</v>
          </cell>
          <cell r="E256" t="str">
            <v xml:space="preserve">TUBO VENT. 1 1/4 X 2,00mm X 6,00 mts </v>
          </cell>
          <cell r="F256">
            <v>4</v>
          </cell>
          <cell r="I256">
            <v>100</v>
          </cell>
          <cell r="J256">
            <v>1</v>
          </cell>
          <cell r="L256">
            <v>0</v>
          </cell>
        </row>
        <row r="257">
          <cell r="D257" t="str">
            <v>CER0100002</v>
          </cell>
          <cell r="E257" t="str">
            <v>CERCHAS 15mm X 6 mts</v>
          </cell>
          <cell r="F257">
            <v>25</v>
          </cell>
          <cell r="I257">
            <v>100</v>
          </cell>
          <cell r="J257">
            <v>1</v>
          </cell>
          <cell r="L257">
            <v>0</v>
          </cell>
        </row>
        <row r="258">
          <cell r="D258" t="str">
            <v>TUB0202012</v>
          </cell>
          <cell r="E258" t="str">
            <v xml:space="preserve">TUBO PULIDO RECT. 3 X 1 X 1,10 mm X 6,00 mts OFERTA </v>
          </cell>
          <cell r="F258">
            <v>75</v>
          </cell>
          <cell r="I258">
            <v>100</v>
          </cell>
          <cell r="J258">
            <v>1</v>
          </cell>
          <cell r="L258">
            <v>0</v>
          </cell>
        </row>
        <row r="259">
          <cell r="D259" t="str">
            <v>TUB0603013</v>
          </cell>
          <cell r="E259" t="str">
            <v>TUBO PVC A.F. 1 1/2X 3,00mm PRESION 200 PSI X 6,00 mts *TUBRICA</v>
          </cell>
          <cell r="F259">
            <v>15</v>
          </cell>
          <cell r="I259">
            <v>100</v>
          </cell>
          <cell r="J259">
            <v>1</v>
          </cell>
          <cell r="L259">
            <v>0</v>
          </cell>
        </row>
        <row r="260">
          <cell r="D260" t="str">
            <v>CAB0114004</v>
          </cell>
          <cell r="E260" t="str">
            <v>CABILLA ESTRIADA  3/8 X 12,00 mts SIDETUR</v>
          </cell>
          <cell r="F260">
            <v>32</v>
          </cell>
          <cell r="I260">
            <v>100</v>
          </cell>
          <cell r="J260">
            <v>1</v>
          </cell>
          <cell r="L260">
            <v>0</v>
          </cell>
        </row>
        <row r="261">
          <cell r="D261" t="str">
            <v>CAB0114010</v>
          </cell>
          <cell r="E261" t="str">
            <v>CABILLA ESTRIADA 1/2 X 12,00 mts  SIDOR</v>
          </cell>
          <cell r="F261">
            <v>0</v>
          </cell>
          <cell r="I261">
            <v>100</v>
          </cell>
          <cell r="J261">
            <v>1</v>
          </cell>
          <cell r="L261">
            <v>0</v>
          </cell>
        </row>
        <row r="262">
          <cell r="D262" t="str">
            <v>CAB0114009</v>
          </cell>
          <cell r="E262" t="str">
            <v>CABILLA ESTRIADA 5/8 X 12,00 mts SIDETUR</v>
          </cell>
          <cell r="F262">
            <v>80</v>
          </cell>
          <cell r="I262">
            <v>100</v>
          </cell>
          <cell r="J262">
            <v>1</v>
          </cell>
          <cell r="L262">
            <v>0</v>
          </cell>
        </row>
        <row r="263">
          <cell r="D263" t="str">
            <v>CAB0114012</v>
          </cell>
          <cell r="E263" t="str">
            <v>CABILLA ESTRIADA 3/4 X 12,00 mts SIDOR</v>
          </cell>
          <cell r="F263">
            <v>0</v>
          </cell>
          <cell r="I263">
            <v>100</v>
          </cell>
          <cell r="J263">
            <v>1</v>
          </cell>
          <cell r="L263">
            <v>0</v>
          </cell>
        </row>
        <row r="264">
          <cell r="D264" t="str">
            <v>CAB0114001</v>
          </cell>
          <cell r="E264" t="str">
            <v xml:space="preserve">CABILLA ESTRIADA 1" X 12,00 mts LEVE OXIDO </v>
          </cell>
          <cell r="F264">
            <v>0</v>
          </cell>
          <cell r="I264">
            <v>100</v>
          </cell>
          <cell r="J264">
            <v>1</v>
          </cell>
          <cell r="L264">
            <v>0</v>
          </cell>
        </row>
        <row r="265">
          <cell r="D265" t="str">
            <v>ALA0403001</v>
          </cell>
          <cell r="E265" t="str">
            <v>ALAMBRE GALVANIZADO CALIBRE 18</v>
          </cell>
          <cell r="F265">
            <v>0</v>
          </cell>
          <cell r="I265">
            <v>100</v>
          </cell>
          <cell r="J265">
            <v>1</v>
          </cell>
          <cell r="L265">
            <v>0</v>
          </cell>
        </row>
        <row r="266">
          <cell r="D266" t="str">
            <v>TUB0301014</v>
          </cell>
          <cell r="E266" t="str">
            <v>TUBO ESTRUC. CUAD. 90 X 90 X 3,2mm X 3,90 mts 2da</v>
          </cell>
          <cell r="F266">
            <v>10</v>
          </cell>
          <cell r="I266">
            <v>100</v>
          </cell>
          <cell r="J266">
            <v>1</v>
          </cell>
          <cell r="L266">
            <v>0</v>
          </cell>
        </row>
        <row r="267">
          <cell r="D267" t="str">
            <v>TUB0302005</v>
          </cell>
          <cell r="E267" t="str">
            <v>TUBO ESTRUC. RECT. 80 X 40 X 2,00mm X 6,00 mts</v>
          </cell>
          <cell r="F267">
            <v>8</v>
          </cell>
          <cell r="I267">
            <v>100</v>
          </cell>
          <cell r="J267">
            <v>1</v>
          </cell>
          <cell r="L267">
            <v>0</v>
          </cell>
        </row>
        <row r="268">
          <cell r="D268" t="str">
            <v>TUB0202012</v>
          </cell>
          <cell r="E268" t="str">
            <v xml:space="preserve">TUBO PULIDO RECT. 3 X 1 X 1,10 mm X 6,00 mts OFERTA </v>
          </cell>
          <cell r="F268">
            <v>40</v>
          </cell>
          <cell r="I268">
            <v>100</v>
          </cell>
          <cell r="J268">
            <v>1</v>
          </cell>
          <cell r="L268">
            <v>0</v>
          </cell>
        </row>
        <row r="269">
          <cell r="D269" t="str">
            <v>BAR0103001</v>
          </cell>
          <cell r="E269" t="str">
            <v xml:space="preserve">BARRA REDONDA LISA 10mm X 6,00 mts </v>
          </cell>
          <cell r="F269">
            <v>50</v>
          </cell>
          <cell r="I269">
            <v>100</v>
          </cell>
          <cell r="J269">
            <v>1</v>
          </cell>
          <cell r="L269">
            <v>0</v>
          </cell>
        </row>
        <row r="270">
          <cell r="D270" t="str">
            <v>LAM1954004</v>
          </cell>
          <cell r="E270" t="str">
            <v>LAMINA ARQUITECTONICA ROJA 6 mts x 1,10 x 0,25 cal</v>
          </cell>
          <cell r="F270">
            <v>35</v>
          </cell>
          <cell r="I270">
            <v>100</v>
          </cell>
          <cell r="J270">
            <v>1</v>
          </cell>
          <cell r="L270">
            <v>0</v>
          </cell>
        </row>
        <row r="271">
          <cell r="D271" t="str">
            <v>CEM1045001</v>
          </cell>
          <cell r="E271" t="str">
            <v>CEMENTO GRIS ENSACADO</v>
          </cell>
          <cell r="F271">
            <v>5</v>
          </cell>
          <cell r="I271">
            <v>100</v>
          </cell>
          <cell r="J271">
            <v>1</v>
          </cell>
          <cell r="L271">
            <v>0</v>
          </cell>
        </row>
        <row r="272">
          <cell r="D272" t="str">
            <v>ALA0403001</v>
          </cell>
          <cell r="E272" t="str">
            <v>ALAMBRE GALVANIZADO CALIBRE 18</v>
          </cell>
          <cell r="F272">
            <v>2</v>
          </cell>
          <cell r="I272">
            <v>100</v>
          </cell>
          <cell r="J272">
            <v>1</v>
          </cell>
          <cell r="L272">
            <v>0</v>
          </cell>
        </row>
        <row r="273">
          <cell r="D273" t="str">
            <v>LAM0413001</v>
          </cell>
          <cell r="E273" t="str">
            <v>LAMINA GALV. LISA CAL. 26-0,40 mm X 1200 X 2,40 m</v>
          </cell>
          <cell r="G273">
            <v>148</v>
          </cell>
          <cell r="H273">
            <v>9.7899999999999991</v>
          </cell>
          <cell r="I273">
            <v>100</v>
          </cell>
          <cell r="J273">
            <v>0.7</v>
          </cell>
          <cell r="K273">
            <v>30</v>
          </cell>
          <cell r="L273">
            <v>13.985714285714286</v>
          </cell>
        </row>
        <row r="274">
          <cell r="D274" t="str">
            <v>LAM0413008</v>
          </cell>
          <cell r="E274" t="str">
            <v>LAMINA GALV. LISA CAL.  22-0,60 mm X 1200 X 2,40 m</v>
          </cell>
          <cell r="G274">
            <v>9</v>
          </cell>
          <cell r="H274">
            <v>13.25</v>
          </cell>
          <cell r="I274">
            <v>100</v>
          </cell>
          <cell r="J274">
            <v>0.7</v>
          </cell>
          <cell r="K274">
            <v>30</v>
          </cell>
          <cell r="L274">
            <v>18.928571428571431</v>
          </cell>
        </row>
        <row r="275">
          <cell r="D275" t="str">
            <v>LAM0413010</v>
          </cell>
          <cell r="E275" t="str">
            <v>LAMINA GALV. LISA CAL.  17-1,10 mm X 1200 X 2,40 m</v>
          </cell>
          <cell r="G275">
            <v>1</v>
          </cell>
          <cell r="H275">
            <v>24.29</v>
          </cell>
          <cell r="I275">
            <v>100</v>
          </cell>
          <cell r="J275">
            <v>0.7</v>
          </cell>
          <cell r="K275">
            <v>30</v>
          </cell>
          <cell r="L275">
            <v>34.700000000000003</v>
          </cell>
        </row>
        <row r="276">
          <cell r="D276" t="str">
            <v>LAM0413009</v>
          </cell>
          <cell r="E276" t="str">
            <v>LAMINA GALV. LISA CAL.  17-1,50 mm X 1200 X 2,40 m</v>
          </cell>
          <cell r="G276">
            <v>12</v>
          </cell>
          <cell r="H276">
            <v>33</v>
          </cell>
          <cell r="I276">
            <v>100</v>
          </cell>
          <cell r="J276">
            <v>0.7</v>
          </cell>
          <cell r="K276">
            <v>30</v>
          </cell>
          <cell r="L276">
            <v>47.142857142857146</v>
          </cell>
        </row>
        <row r="277">
          <cell r="D277" t="str">
            <v>LAM0113008</v>
          </cell>
          <cell r="E277" t="str">
            <v xml:space="preserve">LAMINA HN 5,00 mm X 1,005 X 2,40 m </v>
          </cell>
          <cell r="G277">
            <v>4</v>
          </cell>
          <cell r="H277">
            <v>98</v>
          </cell>
          <cell r="I277">
            <v>100</v>
          </cell>
          <cell r="J277">
            <v>0.7</v>
          </cell>
          <cell r="K277">
            <v>30</v>
          </cell>
          <cell r="L277">
            <v>140</v>
          </cell>
        </row>
        <row r="278">
          <cell r="D278" t="str">
            <v>LAM0413011</v>
          </cell>
          <cell r="E278" t="str">
            <v>LAMINA GALV. LISA CAL.  17-1,90 mm X 1200 X 2,40 m</v>
          </cell>
          <cell r="G278">
            <v>4</v>
          </cell>
          <cell r="H278">
            <v>40</v>
          </cell>
          <cell r="I278">
            <v>100</v>
          </cell>
          <cell r="J278">
            <v>0.7</v>
          </cell>
          <cell r="K278">
            <v>30</v>
          </cell>
          <cell r="L278">
            <v>57.142857142857146</v>
          </cell>
        </row>
        <row r="279">
          <cell r="D279" t="str">
            <v>LAM0113002</v>
          </cell>
          <cell r="E279" t="str">
            <v xml:space="preserve">LAMINA HN 5,00 mm X 1,200 X 2,40 m </v>
          </cell>
          <cell r="G279">
            <v>1</v>
          </cell>
          <cell r="H279">
            <v>104</v>
          </cell>
          <cell r="I279">
            <v>100</v>
          </cell>
          <cell r="J279">
            <v>0.7</v>
          </cell>
          <cell r="K279">
            <v>30</v>
          </cell>
          <cell r="L279">
            <v>148.57142857142858</v>
          </cell>
        </row>
        <row r="280">
          <cell r="D280" t="str">
            <v>CAB0114010</v>
          </cell>
          <cell r="E280" t="str">
            <v>CABILLA ESTRIADA 1/2 X 12,00 mts  SIDOR</v>
          </cell>
          <cell r="F280">
            <v>10</v>
          </cell>
          <cell r="I280">
            <v>100</v>
          </cell>
          <cell r="J280">
            <v>1</v>
          </cell>
          <cell r="L280">
            <v>0</v>
          </cell>
        </row>
        <row r="281">
          <cell r="D281" t="str">
            <v>CAB0114010</v>
          </cell>
          <cell r="E281" t="str">
            <v>CABILLA ESTRIADA 1/2 X 12,00 mts  SIDOR</v>
          </cell>
          <cell r="F281">
            <v>50</v>
          </cell>
          <cell r="I281">
            <v>100</v>
          </cell>
          <cell r="J281">
            <v>1</v>
          </cell>
          <cell r="L281">
            <v>0</v>
          </cell>
        </row>
        <row r="282">
          <cell r="D282" t="str">
            <v>CAB0114009</v>
          </cell>
          <cell r="E282" t="str">
            <v>CABILLA ESTRIADA 5/8 X 12,00 mts SIDETUR</v>
          </cell>
          <cell r="F282">
            <v>120</v>
          </cell>
          <cell r="I282">
            <v>100</v>
          </cell>
          <cell r="J282">
            <v>1</v>
          </cell>
          <cell r="L282">
            <v>0</v>
          </cell>
        </row>
        <row r="283">
          <cell r="D283" t="str">
            <v>FER1051003</v>
          </cell>
          <cell r="E283" t="str">
            <v>ELECTRODO 6013 1/8 KEEP DRY</v>
          </cell>
          <cell r="F283">
            <v>20</v>
          </cell>
          <cell r="I283">
            <v>100</v>
          </cell>
          <cell r="J283">
            <v>1</v>
          </cell>
          <cell r="L283">
            <v>0</v>
          </cell>
        </row>
        <row r="284">
          <cell r="D284" t="str">
            <v>CEM1045001</v>
          </cell>
          <cell r="E284" t="str">
            <v>CEMENTO GRIS ENSACADO</v>
          </cell>
          <cell r="F284">
            <v>5</v>
          </cell>
          <cell r="I284">
            <v>100</v>
          </cell>
          <cell r="J284">
            <v>1</v>
          </cell>
          <cell r="L284">
            <v>0</v>
          </cell>
        </row>
        <row r="285">
          <cell r="D285" t="str">
            <v>CAB0114005</v>
          </cell>
          <cell r="E285" t="str">
            <v>CABILLA ESTRIADA  3/8 X 6,00 mts SIDETUR</v>
          </cell>
          <cell r="F285">
            <v>10</v>
          </cell>
          <cell r="I285">
            <v>100</v>
          </cell>
          <cell r="J285">
            <v>1</v>
          </cell>
          <cell r="L285">
            <v>0</v>
          </cell>
        </row>
        <row r="286">
          <cell r="D286" t="str">
            <v>CAB0114007</v>
          </cell>
          <cell r="E286" t="str">
            <v>CABILLA ESTRIADA 1/2 X 6,00 mts  SIDETUR</v>
          </cell>
          <cell r="F286">
            <v>10</v>
          </cell>
          <cell r="I286">
            <v>100</v>
          </cell>
          <cell r="J286">
            <v>1</v>
          </cell>
          <cell r="L286">
            <v>0</v>
          </cell>
        </row>
        <row r="287">
          <cell r="D287" t="str">
            <v>CAB0114009</v>
          </cell>
          <cell r="E287" t="str">
            <v>CABILLA ESTRIADA 5/8 X 12,00 mts SIDETUR</v>
          </cell>
          <cell r="F287">
            <v>2</v>
          </cell>
          <cell r="I287">
            <v>100</v>
          </cell>
          <cell r="J287">
            <v>1</v>
          </cell>
          <cell r="L287">
            <v>0</v>
          </cell>
        </row>
        <row r="288">
          <cell r="D288" t="str">
            <v>CAB0114016</v>
          </cell>
          <cell r="E288" t="str">
            <v>CABILLA ESTRIADA 5/8 X 6,00 mts SIDETUR</v>
          </cell>
          <cell r="F288">
            <v>1</v>
          </cell>
          <cell r="I288">
            <v>100</v>
          </cell>
          <cell r="J288">
            <v>1</v>
          </cell>
          <cell r="L288">
            <v>0</v>
          </cell>
        </row>
        <row r="289">
          <cell r="D289" t="str">
            <v>CER0100001</v>
          </cell>
          <cell r="E289" t="str">
            <v>CERCHAS 10mm X 6 mts</v>
          </cell>
          <cell r="F289">
            <v>10</v>
          </cell>
          <cell r="I289">
            <v>100</v>
          </cell>
          <cell r="J289">
            <v>1</v>
          </cell>
          <cell r="L289">
            <v>0</v>
          </cell>
        </row>
        <row r="290">
          <cell r="D290" t="str">
            <v>TUB0202005</v>
          </cell>
          <cell r="E290" t="str">
            <v xml:space="preserve">TUBO PULIDO RECT. 2 X 1 X 0,90 mm X 6,00 mts </v>
          </cell>
          <cell r="F290">
            <v>10</v>
          </cell>
          <cell r="I290">
            <v>100</v>
          </cell>
          <cell r="J290">
            <v>1</v>
          </cell>
          <cell r="L290">
            <v>0</v>
          </cell>
        </row>
        <row r="291">
          <cell r="D291" t="str">
            <v>PER0111001</v>
          </cell>
          <cell r="E291" t="str">
            <v xml:space="preserve">ANGULO 20 X 3mm X 6,00 mts </v>
          </cell>
          <cell r="F291">
            <v>2</v>
          </cell>
          <cell r="I291">
            <v>100</v>
          </cell>
          <cell r="J291">
            <v>1</v>
          </cell>
          <cell r="L291">
            <v>0</v>
          </cell>
        </row>
        <row r="292">
          <cell r="D292" t="str">
            <v>TUB1403001</v>
          </cell>
          <cell r="E292" t="str">
            <v xml:space="preserve">TUBO VENT. 1 1/2 X 2,00mm X 6,00 mts </v>
          </cell>
          <cell r="F292">
            <v>1</v>
          </cell>
          <cell r="I292">
            <v>100</v>
          </cell>
          <cell r="J292">
            <v>1</v>
          </cell>
          <cell r="L292">
            <v>0</v>
          </cell>
        </row>
        <row r="293">
          <cell r="D293" t="str">
            <v>FER1051003</v>
          </cell>
          <cell r="E293" t="str">
            <v>ELECTRODO 6013 1/8 KEEP DRY</v>
          </cell>
          <cell r="F293">
            <v>5</v>
          </cell>
          <cell r="I293">
            <v>100</v>
          </cell>
          <cell r="J293">
            <v>1</v>
          </cell>
          <cell r="L293">
            <v>0</v>
          </cell>
        </row>
        <row r="294">
          <cell r="D294" t="str">
            <v>FER1003002</v>
          </cell>
          <cell r="E294" t="str">
            <v>DISCO DE CORTE 7" X 1/16</v>
          </cell>
          <cell r="F294">
            <v>2</v>
          </cell>
          <cell r="I294">
            <v>100</v>
          </cell>
          <cell r="J294">
            <v>1</v>
          </cell>
          <cell r="L294">
            <v>0</v>
          </cell>
        </row>
        <row r="295">
          <cell r="D295" t="str">
            <v>CAB0114007</v>
          </cell>
          <cell r="E295" t="str">
            <v>CABILLA ESTRIADA 1/2 X 6,00 mts  SIDETUR</v>
          </cell>
          <cell r="F295">
            <v>30</v>
          </cell>
          <cell r="I295">
            <v>100</v>
          </cell>
          <cell r="J295">
            <v>1</v>
          </cell>
          <cell r="L295">
            <v>0</v>
          </cell>
        </row>
        <row r="296">
          <cell r="D296" t="str">
            <v>CAB0114007</v>
          </cell>
          <cell r="E296" t="str">
            <v>CABILLA ESTRIADA 1/2 X 6,00 mts  SIDETUR</v>
          </cell>
          <cell r="F296">
            <v>100</v>
          </cell>
          <cell r="I296">
            <v>100</v>
          </cell>
          <cell r="J296">
            <v>1</v>
          </cell>
          <cell r="L296">
            <v>0</v>
          </cell>
        </row>
        <row r="297">
          <cell r="D297" t="str">
            <v>ELE1732003</v>
          </cell>
          <cell r="E297" t="str">
            <v xml:space="preserve">CABLE ELECTRICO THW #2 AMARILLO IMPORTADO </v>
          </cell>
          <cell r="F297">
            <v>200</v>
          </cell>
          <cell r="I297">
            <v>100</v>
          </cell>
          <cell r="J297">
            <v>1</v>
          </cell>
          <cell r="L297">
            <v>0</v>
          </cell>
        </row>
        <row r="298">
          <cell r="D298" t="str">
            <v>ELE1732004</v>
          </cell>
          <cell r="E298" t="str">
            <v xml:space="preserve">CABLE ELECTRICO THW #2 VERDE IMPORTADO </v>
          </cell>
          <cell r="F298">
            <v>110</v>
          </cell>
          <cell r="I298">
            <v>100</v>
          </cell>
          <cell r="J298">
            <v>1</v>
          </cell>
          <cell r="L298">
            <v>0</v>
          </cell>
        </row>
        <row r="299">
          <cell r="D299" t="str">
            <v>CEM1045001</v>
          </cell>
          <cell r="E299" t="str">
            <v>CEMENTO GRIS ENSACADO</v>
          </cell>
          <cell r="F299">
            <v>88</v>
          </cell>
          <cell r="I299">
            <v>100</v>
          </cell>
          <cell r="J299">
            <v>1</v>
          </cell>
          <cell r="L299">
            <v>0</v>
          </cell>
        </row>
        <row r="300">
          <cell r="D300" t="str">
            <v>TUB1403001</v>
          </cell>
          <cell r="E300" t="str">
            <v xml:space="preserve">TUBO VENT. 1 1/2 X 2,00mm X 6,00 mts </v>
          </cell>
          <cell r="F300">
            <v>1</v>
          </cell>
          <cell r="I300">
            <v>100</v>
          </cell>
          <cell r="J300">
            <v>1</v>
          </cell>
          <cell r="L300">
            <v>0</v>
          </cell>
        </row>
        <row r="301">
          <cell r="D301" t="str">
            <v>FER1051003</v>
          </cell>
          <cell r="E301" t="str">
            <v>ELECTRODO 6013 1/8 KEEP DRY</v>
          </cell>
          <cell r="F301">
            <v>5</v>
          </cell>
          <cell r="I301">
            <v>100</v>
          </cell>
          <cell r="J301">
            <v>1</v>
          </cell>
          <cell r="L301">
            <v>0</v>
          </cell>
        </row>
        <row r="302">
          <cell r="D302" t="str">
            <v>FER1003002</v>
          </cell>
          <cell r="E302" t="str">
            <v>DISCO DE CORTE 7" X 1/16</v>
          </cell>
          <cell r="F302">
            <v>2</v>
          </cell>
          <cell r="I302">
            <v>100</v>
          </cell>
          <cell r="J302">
            <v>1</v>
          </cell>
          <cell r="L302">
            <v>0</v>
          </cell>
        </row>
      </sheetData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a29" displayName="Tabla29" ref="A13:R457" totalsRowShown="0" headerRowDxfId="41" dataDxfId="40" totalsRowDxfId="39" headerRowBorderDxfId="37" tableBorderDxfId="38" totalsRowBorderDxfId="36">
  <autoFilter ref="A13:R457">
    <filterColumn colId="14">
      <customFilters>
        <customFilter operator="notEqual" val=" "/>
      </customFilters>
    </filterColumn>
  </autoFilter>
  <sortState ref="A14:P410">
    <sortCondition ref="C17:C391"/>
    <sortCondition ref="G17:G391"/>
  </sortState>
  <tableColumns count="18">
    <tableColumn id="1" name="ITEM" dataDxfId="34" totalsRowDxfId="35" dataCellStyle="Normal 2"/>
    <tableColumn id="2" name="BASE" dataDxfId="32" totalsRowDxfId="33" dataCellStyle="Normal 2"/>
    <tableColumn id="3" name="LIN" dataDxfId="30" totalsRowDxfId="31" dataCellStyle="Normal 2"/>
    <tableColumn id="4" name="MAT" dataDxfId="28" totalsRowDxfId="29" dataCellStyle="Normal 2"/>
    <tableColumn id="5" name="FORMA" dataDxfId="26" totalsRowDxfId="27" dataCellStyle="Normal 2"/>
    <tableColumn id="6" name="CORRE" dataDxfId="24" totalsRowDxfId="25" dataCellStyle="Normal 2"/>
    <tableColumn id="7" name="CODIGO" dataDxfId="22" totalsRowDxfId="23" dataCellStyle="Normal 2"/>
    <tableColumn id="8" name="DESCRIPCION DE PRODUCTO" dataDxfId="20" totalsRowDxfId="21" dataCellStyle="Normal 2"/>
    <tableColumn id="9" name="DISP" dataDxfId="18" totalsRowDxfId="19" dataCellStyle="Normal 2"/>
    <tableColumn id="10" name="UND" dataDxfId="16" totalsRowDxfId="17" dataCellStyle="Normal 2"/>
    <tableColumn id="11" name="PRECIO DETAL USD" dataDxfId="14" totalsRowDxfId="15" dataCellStyle="Normal 2"/>
    <tableColumn id="12" name="PRECIO MAYOR USD" dataDxfId="12" totalsRowDxfId="13"/>
    <tableColumn id="13" name="SALIDA" dataDxfId="10" totalsRowDxfId="11">
      <calculatedColumnFormula>SUMIFS([1]!Tabla6[SALIDA],[1]!Tabla6[CODIGO],Tabla29[[#This Row],[CODIGO]])</calculatedColumnFormula>
    </tableColumn>
    <tableColumn id="16" name="ENTRADA" dataDxfId="8" totalsRowDxfId="9">
      <calculatedColumnFormula>SUMIFS([1]!Tabla6[ENTRADA],[1]!Tabla6[CODIGO],Tabla29[[#This Row],[CODIGO]])</calculatedColumnFormula>
    </tableColumn>
    <tableColumn id="14" name="STOCK" dataDxfId="6" totalsRowDxfId="7">
      <calculatedColumnFormula>Tabla29[[#This Row],[DISP]]-Tabla29[[#This Row],[SALIDA]]+Tabla29[[#This Row],[ENTRADA]]</calculatedColumnFormula>
    </tableColumn>
    <tableColumn id="18" name="NUEVO PRECIO" dataDxfId="4" totalsRowDxfId="5" dataCellStyle="Millares">
      <calculatedColumnFormula>IFERROR(VLOOKUP(Tabla29[[#This Row],[CODIGO]],[1]!Tabla6[[CODIGO]:[PRECIO VENTA]],9,0),0)</calculatedColumnFormula>
    </tableColumn>
    <tableColumn id="17" name="COSTO" dataDxfId="2" totalsRowDxfId="3" dataCellStyle="Millares">
      <calculatedColumnFormula>IFERROR(Tabla29[[#This Row],[PRECIO DETAL USD]]*0.8,0)</calculatedColumnFormula>
    </tableColumn>
    <tableColumn id="19" name="VALOR INVENTARIO" dataDxfId="0" totalsRowDxfId="1" dataCellStyle="Millares">
      <calculatedColumnFormula>IFERROR([1]!Tabla2[[#This Row],[STOCK]]*[1]!Tabla2[[#This Row],[COSTO]],0)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1:V1856"/>
  <sheetViews>
    <sheetView showGridLines="0" showZeros="0" tabSelected="1" topLeftCell="A453" zoomScale="81" zoomScaleNormal="55" workbookViewId="0">
      <selection activeCell="H463" sqref="H463"/>
    </sheetView>
  </sheetViews>
  <sheetFormatPr baseColWidth="10" defaultColWidth="10.90625" defaultRowHeight="14.5" outlineLevelCol="1" x14ac:dyDescent="0.35"/>
  <cols>
    <col min="1" max="1" width="9.6328125" bestFit="1" customWidth="1"/>
    <col min="2" max="2" width="34.90625" hidden="1" customWidth="1"/>
    <col min="3" max="3" width="8" hidden="1" customWidth="1"/>
    <col min="4" max="4" width="5" hidden="1" customWidth="1" outlineLevel="1"/>
    <col min="5" max="5" width="2.90625" hidden="1" customWidth="1" outlineLevel="1"/>
    <col min="6" max="6" width="11" hidden="1" customWidth="1" outlineLevel="1"/>
    <col min="7" max="7" width="14.81640625" customWidth="1" collapsed="1"/>
    <col min="8" max="8" width="58.26953125" customWidth="1"/>
    <col min="9" max="9" width="10.81640625" hidden="1" customWidth="1" outlineLevel="1"/>
    <col min="10" max="10" width="5.1796875" bestFit="1" customWidth="1" collapsed="1"/>
    <col min="11" max="11" width="9.6328125" style="140" customWidth="1"/>
    <col min="12" max="12" width="10.54296875" customWidth="1"/>
    <col min="13" max="13" width="8.08984375" style="2" hidden="1" customWidth="1" outlineLevel="1"/>
    <col min="14" max="14" width="14.6328125" style="3" hidden="1" customWidth="1" outlineLevel="1"/>
    <col min="15" max="15" width="11.81640625" customWidth="1" collapsed="1"/>
    <col min="16" max="16" width="18.26953125" style="5" hidden="1" customWidth="1" outlineLevel="1"/>
    <col min="17" max="17" width="10.90625" style="5" hidden="1" customWidth="1" outlineLevel="1"/>
    <col min="18" max="18" width="22.6328125" style="5" hidden="1" customWidth="1" outlineLevel="1"/>
    <col min="19" max="19" width="10.90625" collapsed="1"/>
    <col min="20" max="20" width="10.90625" customWidth="1"/>
  </cols>
  <sheetData>
    <row r="11" spans="1:22" x14ac:dyDescent="0.35">
      <c r="J11" s="1" t="s">
        <v>0</v>
      </c>
      <c r="K11" s="1"/>
      <c r="O11" s="4">
        <f ca="1">NOW()</f>
        <v>46156.478377314816</v>
      </c>
    </row>
    <row r="12" spans="1:22" x14ac:dyDescent="0.35">
      <c r="D12" s="6"/>
      <c r="E12" s="6"/>
      <c r="F12" s="6"/>
      <c r="G12" s="6">
        <v>1</v>
      </c>
      <c r="H12" s="6">
        <v>2</v>
      </c>
      <c r="I12" s="6">
        <v>3</v>
      </c>
      <c r="J12" s="6">
        <v>4</v>
      </c>
      <c r="K12" s="7">
        <v>5</v>
      </c>
      <c r="L12" s="6"/>
      <c r="M12" s="7"/>
      <c r="N12" s="8"/>
      <c r="O12" s="6"/>
    </row>
    <row r="13" spans="1:22" s="18" customFormat="1" ht="43.5" x14ac:dyDescent="0.35">
      <c r="A13" s="9" t="s">
        <v>1</v>
      </c>
      <c r="B13" s="10" t="s">
        <v>2</v>
      </c>
      <c r="C13" s="10" t="s">
        <v>3</v>
      </c>
      <c r="D13" s="11" t="s">
        <v>4</v>
      </c>
      <c r="E13" s="11" t="s">
        <v>5</v>
      </c>
      <c r="F13" s="11" t="s">
        <v>6</v>
      </c>
      <c r="G13" s="10" t="s">
        <v>7</v>
      </c>
      <c r="H13" s="10" t="s">
        <v>8</v>
      </c>
      <c r="I13" s="12" t="s">
        <v>9</v>
      </c>
      <c r="J13" s="12" t="s">
        <v>10</v>
      </c>
      <c r="K13" s="13" t="s">
        <v>11</v>
      </c>
      <c r="L13" s="13" t="s">
        <v>12</v>
      </c>
      <c r="M13" s="14" t="s">
        <v>13</v>
      </c>
      <c r="N13" s="14" t="s">
        <v>14</v>
      </c>
      <c r="O13" s="15" t="s">
        <v>15</v>
      </c>
      <c r="P13" s="15" t="s">
        <v>16</v>
      </c>
      <c r="Q13" s="16" t="s">
        <v>17</v>
      </c>
      <c r="R13" s="17" t="s">
        <v>18</v>
      </c>
    </row>
    <row r="14" spans="1:22" ht="18.5" x14ac:dyDescent="0.4">
      <c r="A14" s="19">
        <v>1</v>
      </c>
      <c r="B14" s="20"/>
      <c r="C14" s="21"/>
      <c r="D14" s="22"/>
      <c r="E14" s="22"/>
      <c r="F14" s="22"/>
      <c r="G14" s="23" t="s">
        <v>19</v>
      </c>
      <c r="H14" s="24"/>
      <c r="I14" s="22"/>
      <c r="J14" s="25"/>
      <c r="K14" s="26" t="s">
        <v>20</v>
      </c>
      <c r="L14" s="22"/>
      <c r="M14" s="22"/>
      <c r="N14" s="22"/>
      <c r="O14" s="27" t="s">
        <v>21</v>
      </c>
      <c r="P14" s="28">
        <f>IFERROR(VLOOKUP(Tabla29[[#This Row],[CODIGO]],[1]!Tabla6[[CODIGO]:[PRECIO VENTA]],9,0),0)</f>
        <v>0</v>
      </c>
      <c r="Q14" s="29">
        <f>IFERROR(Tabla29[[#This Row],[PRECIO DETAL USD]]*0.8,0)</f>
        <v>0</v>
      </c>
      <c r="R14" s="30">
        <f>IFERROR([1]!Tabla2[[#This Row],[STOCK]]*[1]!Tabla2[[#This Row],[COSTO]],0)</f>
        <v>0</v>
      </c>
      <c r="V14" t="s">
        <v>22</v>
      </c>
    </row>
    <row r="15" spans="1:22" x14ac:dyDescent="0.35">
      <c r="A15" s="31" t="s">
        <v>23</v>
      </c>
      <c r="B15" s="32" t="s">
        <v>24</v>
      </c>
      <c r="C15" s="32" t="s">
        <v>25</v>
      </c>
      <c r="D15" s="33">
        <v>10</v>
      </c>
      <c r="E15" s="33">
        <v>45</v>
      </c>
      <c r="F15" s="34">
        <v>1</v>
      </c>
      <c r="G15" s="35" t="s">
        <v>26</v>
      </c>
      <c r="H15" s="36" t="s">
        <v>27</v>
      </c>
      <c r="I15" s="37">
        <f>1920+720-10-2-30-100-6-300-221</f>
        <v>1971</v>
      </c>
      <c r="J15" s="37" t="s">
        <v>28</v>
      </c>
      <c r="K15" s="38">
        <v>9.5</v>
      </c>
      <c r="L15" s="38">
        <v>9.5</v>
      </c>
      <c r="M15" s="39">
        <f>SUMIFS([1]!Tabla6[SALIDA],[1]!Tabla6[CODIGO],Tabla29[[#This Row],[CODIGO]])</f>
        <v>18169.07</v>
      </c>
      <c r="N15" s="39">
        <f>SUMIFS([1]!Tabla6[ENTRADA],[1]!Tabla6[CODIGO],Tabla29[[#This Row],[CODIGO]])</f>
        <v>21436</v>
      </c>
      <c r="O15" s="40">
        <f>Tabla29[[#This Row],[DISP]]-Tabla29[[#This Row],[SALIDA]]+Tabla29[[#This Row],[ENTRADA]]</f>
        <v>5237.93</v>
      </c>
      <c r="P15" s="29">
        <f>IFERROR(VLOOKUP(Tabla29[[#This Row],[CODIGO]],[1]!Tabla6[[CODIGO]:[PRECIO VENTA]],9,0),0)</f>
        <v>0</v>
      </c>
      <c r="Q15" s="29">
        <f>IFERROR(Tabla29[[#This Row],[PRECIO DETAL USD]]*0.8,0)</f>
        <v>7.6000000000000005</v>
      </c>
      <c r="R15" s="30">
        <f>IFERROR([1]!Tabla2[[#This Row],[STOCK]]*[1]!Tabla2[[#This Row],[COSTO]],0)</f>
        <v>38975.247807228923</v>
      </c>
    </row>
    <row r="16" spans="1:22" ht="18.5" x14ac:dyDescent="0.4">
      <c r="A16" s="41">
        <v>2</v>
      </c>
      <c r="B16" s="20"/>
      <c r="C16" s="21"/>
      <c r="D16" s="22"/>
      <c r="E16" s="22"/>
      <c r="F16" s="22"/>
      <c r="G16" s="23"/>
      <c r="H16" s="24"/>
      <c r="I16" s="22"/>
      <c r="J16" s="25"/>
      <c r="K16" s="26" t="s">
        <v>20</v>
      </c>
      <c r="L16" s="22"/>
      <c r="M16" s="22"/>
      <c r="N16" s="22"/>
      <c r="O16" s="27" t="s">
        <v>21</v>
      </c>
      <c r="P16" s="28">
        <f>IFERROR(VLOOKUP(Tabla29[[#This Row],[CODIGO]],[1]!Tabla6[[CODIGO]:[PRECIO VENTA]],9,0),0)</f>
        <v>0</v>
      </c>
      <c r="Q16" s="29">
        <f>IFERROR(Tabla29[[#This Row],[PRECIO DETAL USD]]*0.8,0)</f>
        <v>0</v>
      </c>
      <c r="R16" s="30">
        <f>IFERROR([1]!Tabla2[[#This Row],[STOCK]]*[1]!Tabla2[[#This Row],[COSTO]],0)</f>
        <v>0</v>
      </c>
    </row>
    <row r="17" spans="1:18" x14ac:dyDescent="0.35">
      <c r="A17" s="42" t="s">
        <v>29</v>
      </c>
      <c r="B17" s="32" t="s">
        <v>30</v>
      </c>
      <c r="C17" s="32" t="s">
        <v>31</v>
      </c>
      <c r="D17" s="33">
        <v>4</v>
      </c>
      <c r="E17" s="33">
        <v>3</v>
      </c>
      <c r="F17" s="34">
        <v>1</v>
      </c>
      <c r="G17" s="35" t="s">
        <v>32</v>
      </c>
      <c r="H17" s="36" t="s">
        <v>33</v>
      </c>
      <c r="I17" s="37"/>
      <c r="J17" s="43" t="s">
        <v>34</v>
      </c>
      <c r="K17" s="38">
        <v>1.98</v>
      </c>
      <c r="L17" s="44"/>
      <c r="M17" s="39">
        <f>SUMIFS([1]!Tabla6[SALIDA],[1]!Tabla6[CODIGO],Tabla29[[#This Row],[CODIGO]])</f>
        <v>2141.98</v>
      </c>
      <c r="N17" s="39">
        <f>SUMIFS([1]!Tabla6[ENTRADA],[1]!Tabla6[CODIGO],Tabla29[[#This Row],[CODIGO]])</f>
        <v>6674</v>
      </c>
      <c r="O17" s="45">
        <f>Tabla29[[#This Row],[DISP]]-Tabla29[[#This Row],[SALIDA]]+Tabla29[[#This Row],[ENTRADA]]</f>
        <v>4532.0200000000004</v>
      </c>
      <c r="P17" s="29">
        <f>IFERROR(VLOOKUP(Tabla29[[#This Row],[CODIGO]],[1]!Tabla6[[CODIGO]:[PRECIO VENTA]],9,0),0)</f>
        <v>1.7808219178082192</v>
      </c>
      <c r="Q17" s="29">
        <f>IFERROR(Tabla29[[#This Row],[PRECIO DETAL USD]]*0.8,0)</f>
        <v>1.5840000000000001</v>
      </c>
      <c r="R17" s="30">
        <f>IFERROR([1]!Tabla2[[#This Row],[STOCK]]*[1]!Tabla2[[#This Row],[COSTO]],0)</f>
        <v>7178.7196800000011</v>
      </c>
    </row>
    <row r="18" spans="1:18" hidden="1" x14ac:dyDescent="0.35">
      <c r="A18" s="42" t="s">
        <v>35</v>
      </c>
      <c r="B18" s="32" t="s">
        <v>30</v>
      </c>
      <c r="C18" s="32" t="s">
        <v>31</v>
      </c>
      <c r="D18" s="33">
        <v>4</v>
      </c>
      <c r="E18" s="33">
        <v>3</v>
      </c>
      <c r="F18" s="34">
        <v>2</v>
      </c>
      <c r="G18" s="35" t="s">
        <v>36</v>
      </c>
      <c r="H18" s="36" t="s">
        <v>37</v>
      </c>
      <c r="I18" s="37">
        <v>25</v>
      </c>
      <c r="J18" s="43" t="s">
        <v>38</v>
      </c>
      <c r="K18" s="38"/>
      <c r="L18" s="46"/>
      <c r="M18" s="39">
        <f>SUMIFS([1]!Tabla6[SALIDA],[1]!Tabla6[CODIGO],Tabla29[[#This Row],[CODIGO]])</f>
        <v>25</v>
      </c>
      <c r="N18" s="39">
        <f>SUMIFS([1]!Tabla6[ENTRADA],[1]!Tabla6[CODIGO],Tabla29[[#This Row],[CODIGO]])</f>
        <v>0</v>
      </c>
      <c r="O18" s="39">
        <f>Tabla29[[#This Row],[DISP]]-Tabla29[[#This Row],[SALIDA]]+Tabla29[[#This Row],[ENTRADA]]</f>
        <v>0</v>
      </c>
      <c r="P18" s="29">
        <f>IFERROR(VLOOKUP(Tabla29[[#This Row],[CODIGO]],[1]!Tabla6[[CODIGO]:[PRECIO VENTA]],9,0),0)</f>
        <v>0</v>
      </c>
      <c r="Q18" s="29">
        <f>IFERROR(Tabla29[[#This Row],[PRECIO DETAL USD]]*0.8,0)</f>
        <v>0</v>
      </c>
      <c r="R18" s="30">
        <f>IFERROR([1]!Tabla2[[#This Row],[STOCK]]*[1]!Tabla2[[#This Row],[COSTO]],0)</f>
        <v>0</v>
      </c>
    </row>
    <row r="19" spans="1:18" ht="18.5" x14ac:dyDescent="0.4">
      <c r="A19" s="41">
        <v>3</v>
      </c>
      <c r="B19" s="20"/>
      <c r="C19" s="21"/>
      <c r="D19" s="22"/>
      <c r="E19" s="22"/>
      <c r="F19" s="22"/>
      <c r="G19" s="23" t="s">
        <v>39</v>
      </c>
      <c r="H19" s="24"/>
      <c r="I19" s="22"/>
      <c r="J19" s="25"/>
      <c r="K19" s="26" t="s">
        <v>20</v>
      </c>
      <c r="L19" s="22"/>
      <c r="M19" s="22"/>
      <c r="N19" s="22"/>
      <c r="O19" s="27" t="s">
        <v>21</v>
      </c>
      <c r="P19" s="28">
        <f>IFERROR(VLOOKUP(Tabla29[[#This Row],[CODIGO]],[1]!Tabla6[[CODIGO]:[PRECIO VENTA]],9,0),0)</f>
        <v>0</v>
      </c>
      <c r="Q19" s="29">
        <f>IFERROR(Tabla29[[#This Row],[PRECIO DETAL USD]]*0.8,0)</f>
        <v>0</v>
      </c>
      <c r="R19" s="30">
        <f>IFERROR([1]!Tabla2[[#This Row],[STOCK]]*[1]!Tabla2[[#This Row],[COSTO]],0)</f>
        <v>0</v>
      </c>
    </row>
    <row r="20" spans="1:18" hidden="1" x14ac:dyDescent="0.35">
      <c r="A20" s="47" t="s">
        <v>40</v>
      </c>
      <c r="B20" s="48"/>
      <c r="C20" s="48"/>
      <c r="D20" s="49"/>
      <c r="E20" s="49"/>
      <c r="F20" s="50"/>
      <c r="G20" s="35" t="s">
        <v>41</v>
      </c>
      <c r="H20" s="36" t="s">
        <v>42</v>
      </c>
      <c r="I20" s="51"/>
      <c r="J20" s="52" t="s">
        <v>43</v>
      </c>
      <c r="K20" s="53">
        <v>0</v>
      </c>
      <c r="L20" s="54"/>
      <c r="M20" s="55">
        <f>SUMIFS([1]!Tabla6[SALIDA],[1]!Tabla6[CODIGO],Tabla29[[#This Row],[CODIGO]])</f>
        <v>3500</v>
      </c>
      <c r="N20" s="55">
        <f>SUMIFS([1]!Tabla6[ENTRADA],[1]!Tabla6[CODIGO],Tabla29[[#This Row],[CODIGO]])</f>
        <v>3500</v>
      </c>
      <c r="O20" s="40">
        <f>Tabla29[[#This Row],[DISP]]-Tabla29[[#This Row],[SALIDA]]+Tabla29[[#This Row],[ENTRADA]]</f>
        <v>0</v>
      </c>
      <c r="P20" s="29">
        <f>VLOOKUP(Tabla29[[#This Row],[CODIGO]],[1]MOVIMIENTO!D103:$L$103,9,0)</f>
        <v>1.375</v>
      </c>
      <c r="Q20" s="29">
        <f>IFERROR(Tabla29[[#This Row],[PRECIO DETAL USD]]*0.8,0)</f>
        <v>0</v>
      </c>
      <c r="R20" s="30">
        <f>IFERROR([1]!Tabla2[[#This Row],[STOCK]]*[1]!Tabla2[[#This Row],[COSTO]],0)</f>
        <v>0</v>
      </c>
    </row>
    <row r="21" spans="1:18" hidden="1" x14ac:dyDescent="0.35">
      <c r="A21" s="47" t="s">
        <v>44</v>
      </c>
      <c r="B21" s="32"/>
      <c r="C21" s="32" t="s">
        <v>45</v>
      </c>
      <c r="D21" s="33">
        <v>1</v>
      </c>
      <c r="E21" s="33">
        <v>41</v>
      </c>
      <c r="F21" s="34">
        <v>2</v>
      </c>
      <c r="G21" s="35" t="s">
        <v>46</v>
      </c>
      <c r="H21" s="36" t="s">
        <v>47</v>
      </c>
      <c r="I21" s="37"/>
      <c r="J21" s="37" t="s">
        <v>43</v>
      </c>
      <c r="K21" s="38">
        <v>0</v>
      </c>
      <c r="L21" s="46"/>
      <c r="M21" s="39">
        <f>SUMIFS([1]!Tabla6[SALIDA],[1]!Tabla6[CODIGO],Tabla29[[#This Row],[CODIGO]])</f>
        <v>99.99</v>
      </c>
      <c r="N21" s="39">
        <f>SUMIFS([1]!Tabla6[ENTRADA],[1]!Tabla6[CODIGO],Tabla29[[#This Row],[CODIGO]])</f>
        <v>100</v>
      </c>
      <c r="O21" s="39">
        <f>Tabla29[[#This Row],[DISP]]-Tabla29[[#This Row],[SALIDA]]+Tabla29[[#This Row],[ENTRADA]]</f>
        <v>1.0000000000005116E-2</v>
      </c>
      <c r="P21" s="29">
        <f>IFERROR(VLOOKUP(Tabla29[[#This Row],[CODIGO]],[1]!Tabla6[[CODIGO]:[PRECIO VENTA]],9,0),0)</f>
        <v>0</v>
      </c>
      <c r="Q21" s="29">
        <f>IFERROR(Tabla29[[#This Row],[PRECIO DETAL USD]]*0.8,0)</f>
        <v>0</v>
      </c>
      <c r="R21" s="30">
        <f>IFERROR([1]!Tabla2[[#This Row],[STOCK]]*[1]!Tabla2[[#This Row],[COSTO]],0)</f>
        <v>0</v>
      </c>
    </row>
    <row r="22" spans="1:18" x14ac:dyDescent="0.35">
      <c r="A22" s="47" t="s">
        <v>48</v>
      </c>
      <c r="B22" s="56"/>
      <c r="C22" s="56"/>
      <c r="D22" s="57"/>
      <c r="E22" s="57"/>
      <c r="F22" s="58"/>
      <c r="G22" s="59" t="s">
        <v>49</v>
      </c>
      <c r="H22" s="60" t="s">
        <v>50</v>
      </c>
      <c r="I22" s="51"/>
      <c r="J22" s="52" t="s">
        <v>43</v>
      </c>
      <c r="K22" s="53">
        <v>1.49</v>
      </c>
      <c r="L22" s="53">
        <v>1.29</v>
      </c>
      <c r="M22" s="45">
        <f>SUMIFS([1]!Tabla6[SALIDA],[1]!Tabla6[CODIGO],Tabla29[[#This Row],[CODIGO]])</f>
        <v>17346</v>
      </c>
      <c r="N22" s="45">
        <f>SUMIFS([1]!Tabla6[ENTRADA],[1]!Tabla6[CODIGO],Tabla29[[#This Row],[CODIGO]])</f>
        <v>91025</v>
      </c>
      <c r="O22" s="45">
        <f>Tabla29[[#This Row],[DISP]]-Tabla29[[#This Row],[SALIDA]]+Tabla29[[#This Row],[ENTRADA]]</f>
        <v>73679</v>
      </c>
      <c r="P22" s="61">
        <f>IFERROR(VLOOKUP(Tabla29[[#This Row],[CODIGO]],[1]!Tabla6[[CODIGO]:[PRECIO VENTA]],9,0),0)</f>
        <v>0</v>
      </c>
      <c r="Q22" s="29">
        <f>IFERROR(Tabla29[[#This Row],[PRECIO DETAL USD]]*0.8,0)</f>
        <v>1.1919999999999999</v>
      </c>
      <c r="R22" s="30">
        <f>IFERROR([1]!Tabla2[[#This Row],[STOCK]]*[1]!Tabla2[[#This Row],[COSTO]],0)</f>
        <v>76036.728000000003</v>
      </c>
    </row>
    <row r="23" spans="1:18" x14ac:dyDescent="0.35">
      <c r="A23" s="47" t="s">
        <v>51</v>
      </c>
      <c r="B23" s="56"/>
      <c r="C23" s="56"/>
      <c r="D23" s="57"/>
      <c r="E23" s="57"/>
      <c r="F23" s="58"/>
      <c r="G23" s="59" t="s">
        <v>52</v>
      </c>
      <c r="H23" s="60" t="s">
        <v>53</v>
      </c>
      <c r="I23" s="51"/>
      <c r="J23" s="52" t="s">
        <v>43</v>
      </c>
      <c r="K23" s="53">
        <v>1.9</v>
      </c>
      <c r="L23" s="53"/>
      <c r="M23" s="45">
        <f>SUMIFS([1]!Tabla6[SALIDA],[1]!Tabla6[CODIGO],Tabla29[[#This Row],[CODIGO]])</f>
        <v>44</v>
      </c>
      <c r="N23" s="45">
        <f>SUMIFS([1]!Tabla6[ENTRADA],[1]!Tabla6[CODIGO],Tabla29[[#This Row],[CODIGO]])</f>
        <v>45</v>
      </c>
      <c r="O23" s="45">
        <f>Tabla29[[#This Row],[DISP]]-Tabla29[[#This Row],[SALIDA]]+Tabla29[[#This Row],[ENTRADA]]</f>
        <v>1</v>
      </c>
      <c r="P23" s="61">
        <f>IFERROR(VLOOKUP(Tabla29[[#This Row],[CODIGO]],[1]!Tabla6[[CODIGO]:[PRECIO VENTA]],9,0),0)</f>
        <v>0</v>
      </c>
      <c r="Q23" s="29">
        <f>IFERROR(Tabla29[[#This Row],[PRECIO DETAL USD]]*0.8,0)</f>
        <v>1.52</v>
      </c>
      <c r="R23" s="62">
        <f>IFERROR([1]!Tabla2[[#This Row],[STOCK]]*[1]!Tabla2[[#This Row],[COSTO]],0)</f>
        <v>0</v>
      </c>
    </row>
    <row r="24" spans="1:18" x14ac:dyDescent="0.35">
      <c r="A24" s="47" t="s">
        <v>54</v>
      </c>
      <c r="B24" s="32" t="s">
        <v>55</v>
      </c>
      <c r="C24" s="32" t="s">
        <v>45</v>
      </c>
      <c r="D24" s="33">
        <v>1</v>
      </c>
      <c r="E24" s="33">
        <v>41</v>
      </c>
      <c r="F24" s="34">
        <v>1</v>
      </c>
      <c r="G24" s="35" t="s">
        <v>56</v>
      </c>
      <c r="H24" s="36" t="s">
        <v>57</v>
      </c>
      <c r="I24" s="37" t="s">
        <v>58</v>
      </c>
      <c r="J24" s="37" t="s">
        <v>43</v>
      </c>
      <c r="K24" s="38">
        <v>2.9</v>
      </c>
      <c r="L24" s="44"/>
      <c r="M24" s="39">
        <f>SUMIFS([1]!Tabla6[SALIDA],[1]!Tabla6[CODIGO],Tabla29[[#This Row],[CODIGO]])</f>
        <v>414</v>
      </c>
      <c r="N24" s="39">
        <f>SUMIFS([1]!Tabla6[ENTRADA],[1]!Tabla6[CODIGO],Tabla29[[#This Row],[CODIGO]])</f>
        <v>417</v>
      </c>
      <c r="O24" s="45">
        <v>3</v>
      </c>
      <c r="P24" s="29">
        <f>IFERROR(VLOOKUP(Tabla29[[#This Row],[CODIGO]],[1]!Tabla6[[CODIGO]:[PRECIO VENTA]],9,0),0)</f>
        <v>0</v>
      </c>
      <c r="Q24" s="29">
        <f>IFERROR(Tabla29[[#This Row],[PRECIO DETAL USD]]*0.8,0)</f>
        <v>2.3199999999999998</v>
      </c>
      <c r="R24" s="30">
        <f>IFERROR([1]!Tabla2[[#This Row],[STOCK]]*[1]!Tabla2[[#This Row],[COSTO]],0)</f>
        <v>0</v>
      </c>
    </row>
    <row r="25" spans="1:18" hidden="1" x14ac:dyDescent="0.35">
      <c r="A25" s="47" t="s">
        <v>59</v>
      </c>
      <c r="B25" s="32" t="s">
        <v>55</v>
      </c>
      <c r="C25" s="32" t="s">
        <v>45</v>
      </c>
      <c r="D25" s="33">
        <v>1</v>
      </c>
      <c r="E25" s="33">
        <v>41</v>
      </c>
      <c r="F25" s="34">
        <v>2</v>
      </c>
      <c r="G25" s="35" t="s">
        <v>60</v>
      </c>
      <c r="H25" s="36" t="s">
        <v>61</v>
      </c>
      <c r="I25" s="37">
        <v>40</v>
      </c>
      <c r="J25" s="37" t="s">
        <v>43</v>
      </c>
      <c r="K25" s="38">
        <v>0</v>
      </c>
      <c r="L25" s="46"/>
      <c r="M25" s="39">
        <f>SUMIFS([1]!Tabla6[SALIDA],[1]!Tabla6[CODIGO],Tabla29[[#This Row],[CODIGO]])</f>
        <v>40</v>
      </c>
      <c r="N25" s="39">
        <f>SUMIFS([1]!Tabla6[ENTRADA],[1]!Tabla6[CODIGO],Tabla29[[#This Row],[CODIGO]])</f>
        <v>0</v>
      </c>
      <c r="O25" s="45">
        <f>Tabla29[[#This Row],[DISP]]-Tabla29[[#This Row],[SALIDA]]+Tabla29[[#This Row],[ENTRADA]]</f>
        <v>0</v>
      </c>
      <c r="P25" s="29">
        <f>IFERROR(VLOOKUP(Tabla29[[#This Row],[CODIGO]],[1]!Tabla6[[CODIGO]:[PRECIO VENTA]],9,0),0)</f>
        <v>0</v>
      </c>
      <c r="Q25" s="29">
        <f>IFERROR(Tabla29[[#This Row],[PRECIO DETAL USD]]*0.8,0)</f>
        <v>0</v>
      </c>
      <c r="R25" s="30">
        <f>IFERROR([1]!Tabla2[[#This Row],[STOCK]]*[1]!Tabla2[[#This Row],[COSTO]],0)</f>
        <v>0</v>
      </c>
    </row>
    <row r="26" spans="1:18" ht="15" customHeight="1" x14ac:dyDescent="0.4">
      <c r="A26" s="41">
        <v>4</v>
      </c>
      <c r="B26" s="20"/>
      <c r="C26" s="21"/>
      <c r="D26" s="22"/>
      <c r="E26" s="22"/>
      <c r="F26" s="22"/>
      <c r="G26" s="23" t="s">
        <v>62</v>
      </c>
      <c r="H26" s="24"/>
      <c r="I26" s="22"/>
      <c r="J26" s="25"/>
      <c r="K26" s="26" t="s">
        <v>20</v>
      </c>
      <c r="L26" s="22"/>
      <c r="M26" s="22"/>
      <c r="N26" s="22"/>
      <c r="O26" s="27" t="s">
        <v>21</v>
      </c>
      <c r="P26" s="28">
        <f>IFERROR(VLOOKUP(Tabla29[[#This Row],[CODIGO]],[1]!Tabla6[[CODIGO]:[PRECIO VENTA]],9,0),0)</f>
        <v>0</v>
      </c>
      <c r="Q26" s="29">
        <f>IFERROR(Tabla29[[#This Row],[PRECIO DETAL USD]]*0.8,0)</f>
        <v>0</v>
      </c>
      <c r="R26" s="30">
        <f>IFERROR([1]!Tabla2[[#This Row],[STOCK]]*[1]!Tabla2[[#This Row],[COSTO]],0)</f>
        <v>15747.2</v>
      </c>
    </row>
    <row r="27" spans="1:18" ht="15" customHeight="1" x14ac:dyDescent="0.35">
      <c r="A27" s="42" t="s">
        <v>63</v>
      </c>
      <c r="B27" s="32" t="s">
        <v>64</v>
      </c>
      <c r="C27" s="32" t="s">
        <v>65</v>
      </c>
      <c r="D27" s="33">
        <v>1</v>
      </c>
      <c r="E27" s="33">
        <v>1</v>
      </c>
      <c r="F27" s="34">
        <v>1</v>
      </c>
      <c r="G27" s="35" t="s">
        <v>66</v>
      </c>
      <c r="H27" s="36" t="s">
        <v>67</v>
      </c>
      <c r="I27" s="37">
        <v>580</v>
      </c>
      <c r="J27" s="37" t="s">
        <v>43</v>
      </c>
      <c r="K27" s="38">
        <v>8.58</v>
      </c>
      <c r="L27" s="53">
        <v>7.5</v>
      </c>
      <c r="M27" s="39">
        <f>SUMIFS([1]!Tabla6[SALIDA],[1]!Tabla6[CODIGO],Tabla29[[#This Row],[CODIGO]])</f>
        <v>1728</v>
      </c>
      <c r="N27" s="39">
        <f>SUMIFS([1]!Tabla6[ENTRADA],[1]!Tabla6[CODIGO],Tabla29[[#This Row],[CODIGO]])</f>
        <v>3738</v>
      </c>
      <c r="O27" s="45">
        <f>Tabla29[[#This Row],[DISP]]-Tabla29[[#This Row],[SALIDA]]+Tabla29[[#This Row],[ENTRADA]]</f>
        <v>2590</v>
      </c>
      <c r="P27" s="29">
        <f>IFERROR(VLOOKUP(Tabla29[[#This Row],[CODIGO]],[1]!Tabla6[[CODIGO]:[PRECIO VENTA]],9,0),0)</f>
        <v>0</v>
      </c>
      <c r="Q27" s="29">
        <f>IFERROR(Tabla29[[#This Row],[PRECIO DETAL USD]]*0.8,0)</f>
        <v>6.8640000000000008</v>
      </c>
      <c r="R27" s="30">
        <f>IFERROR([1]!Tabla2[[#This Row],[STOCK]]*[1]!Tabla2[[#This Row],[COSTO]],0)</f>
        <v>30111.120000000003</v>
      </c>
    </row>
    <row r="28" spans="1:18" ht="15" customHeight="1" x14ac:dyDescent="0.35">
      <c r="A28" s="42" t="s">
        <v>68</v>
      </c>
      <c r="B28" s="32" t="s">
        <v>69</v>
      </c>
      <c r="C28" s="32" t="s">
        <v>65</v>
      </c>
      <c r="D28" s="33">
        <v>1</v>
      </c>
      <c r="E28" s="33">
        <v>3</v>
      </c>
      <c r="F28" s="34">
        <v>1</v>
      </c>
      <c r="G28" s="35" t="s">
        <v>70</v>
      </c>
      <c r="H28" s="36" t="s">
        <v>71</v>
      </c>
      <c r="I28" s="37">
        <v>10200</v>
      </c>
      <c r="J28" s="37" t="s">
        <v>43</v>
      </c>
      <c r="K28" s="38">
        <v>4.4000000000000004</v>
      </c>
      <c r="L28" s="53">
        <v>3.16</v>
      </c>
      <c r="M28" s="39">
        <f>SUMIFS([1]!Tabla6[SALIDA],[1]!Tabla6[CODIGO],Tabla29[[#This Row],[CODIGO]])</f>
        <v>549</v>
      </c>
      <c r="N28" s="39">
        <f>SUMIFS([1]!Tabla6[ENTRADA],[1]!Tabla6[CODIGO],Tabla29[[#This Row],[CODIGO]])</f>
        <v>0</v>
      </c>
      <c r="O28" s="45">
        <f>Tabla29[[#This Row],[DISP]]-Tabla29[[#This Row],[SALIDA]]+Tabla29[[#This Row],[ENTRADA]]</f>
        <v>9651</v>
      </c>
      <c r="P28" s="29">
        <f>IFERROR(VLOOKUP(Tabla29[[#This Row],[CODIGO]],[1]!Tabla6[[CODIGO]:[PRECIO VENTA]],9,0),0)</f>
        <v>0</v>
      </c>
      <c r="Q28" s="29">
        <f>IFERROR(Tabla29[[#This Row],[PRECIO DETAL USD]]*0.8,0)</f>
        <v>3.5200000000000005</v>
      </c>
      <c r="R28" s="30">
        <f>IFERROR([1]!Tabla2[[#This Row],[STOCK]]*[1]!Tabla2[[#This Row],[COSTO]],0)</f>
        <v>13712.4</v>
      </c>
    </row>
    <row r="29" spans="1:18" ht="15" customHeight="1" x14ac:dyDescent="0.35">
      <c r="A29" s="42" t="s">
        <v>72</v>
      </c>
      <c r="B29" s="32" t="s">
        <v>69</v>
      </c>
      <c r="C29" s="32" t="s">
        <v>65</v>
      </c>
      <c r="D29" s="33">
        <v>1</v>
      </c>
      <c r="E29" s="33">
        <v>3</v>
      </c>
      <c r="F29" s="34">
        <v>2</v>
      </c>
      <c r="G29" s="35" t="s">
        <v>73</v>
      </c>
      <c r="H29" s="36" t="s">
        <v>74</v>
      </c>
      <c r="I29" s="37">
        <v>116</v>
      </c>
      <c r="J29" s="37" t="s">
        <v>43</v>
      </c>
      <c r="K29" s="38">
        <v>7.34</v>
      </c>
      <c r="L29" s="53">
        <v>6.66</v>
      </c>
      <c r="M29" s="39">
        <f>SUMIFS([1]!Tabla6[SALIDA],[1]!Tabla6[CODIGO],Tabla29[[#This Row],[CODIGO]])</f>
        <v>179</v>
      </c>
      <c r="N29" s="39">
        <f>SUMIFS([1]!Tabla6[ENTRADA],[1]!Tabla6[CODIGO],Tabla29[[#This Row],[CODIGO]])</f>
        <v>2700</v>
      </c>
      <c r="O29" s="45">
        <f>Tabla29[[#This Row],[DISP]]-Tabla29[[#This Row],[SALIDA]]+Tabla29[[#This Row],[ENTRADA]]</f>
        <v>2637</v>
      </c>
      <c r="P29" s="29">
        <f>IFERROR(VLOOKUP(Tabla29[[#This Row],[CODIGO]],[1]!Tabla6[[CODIGO]:[PRECIO VENTA]],9,0),0)</f>
        <v>0</v>
      </c>
      <c r="Q29" s="29">
        <f>IFERROR(Tabla29[[#This Row],[PRECIO DETAL USD]]*0.8,0)</f>
        <v>5.8719999999999999</v>
      </c>
      <c r="R29" s="30">
        <f>IFERROR([1]!Tabla2[[#This Row],[STOCK]]*[1]!Tabla2[[#This Row],[COSTO]],0)</f>
        <v>0</v>
      </c>
    </row>
    <row r="30" spans="1:18" ht="15" hidden="1" customHeight="1" x14ac:dyDescent="0.35">
      <c r="A30" s="42" t="s">
        <v>75</v>
      </c>
      <c r="B30" s="56"/>
      <c r="C30" s="56"/>
      <c r="D30" s="57"/>
      <c r="E30" s="57"/>
      <c r="F30" s="58"/>
      <c r="G30" s="35" t="s">
        <v>76</v>
      </c>
      <c r="H30" s="36" t="s">
        <v>77</v>
      </c>
      <c r="I30" s="51"/>
      <c r="J30" s="52" t="s">
        <v>43</v>
      </c>
      <c r="K30" s="53"/>
      <c r="L30" s="53"/>
      <c r="M30" s="45">
        <f>SUMIFS([1]!Tabla6[SALIDA],[1]!Tabla6[CODIGO],Tabla29[[#This Row],[CODIGO]])</f>
        <v>0</v>
      </c>
      <c r="N30" s="45">
        <f>SUMIFS([1]!Tabla6[ENTRADA],[1]!Tabla6[CODIGO],Tabla29[[#This Row],[CODIGO]])</f>
        <v>0</v>
      </c>
      <c r="O30" s="45">
        <f>Tabla29[[#This Row],[DISP]]-Tabla29[[#This Row],[SALIDA]]+Tabla29[[#This Row],[ENTRADA]]</f>
        <v>0</v>
      </c>
      <c r="P30" s="61">
        <f>IFERROR(VLOOKUP(Tabla29[[#This Row],[CODIGO]],[1]!Tabla6[[CODIGO]:[PRECIO VENTA]],9,0),0)</f>
        <v>0</v>
      </c>
      <c r="Q30" s="29">
        <f>IFERROR(Tabla29[[#This Row],[PRECIO DETAL USD]]*0.8,0)</f>
        <v>0</v>
      </c>
      <c r="R30" s="62">
        <f>IFERROR([1]!Tabla2[[#This Row],[STOCK]]*[1]!Tabla2[[#This Row],[COSTO]],0)</f>
        <v>19818.720000000016</v>
      </c>
    </row>
    <row r="31" spans="1:18" ht="18.5" x14ac:dyDescent="0.4">
      <c r="A31" s="41">
        <v>5</v>
      </c>
      <c r="B31" s="20"/>
      <c r="C31" s="21"/>
      <c r="D31" s="22"/>
      <c r="E31" s="22"/>
      <c r="F31" s="22"/>
      <c r="G31" s="23" t="s">
        <v>78</v>
      </c>
      <c r="H31" s="24"/>
      <c r="I31" s="22"/>
      <c r="J31" s="25"/>
      <c r="K31" s="26" t="s">
        <v>20</v>
      </c>
      <c r="L31" s="22"/>
      <c r="M31" s="22"/>
      <c r="N31" s="22"/>
      <c r="O31" s="27" t="s">
        <v>21</v>
      </c>
      <c r="P31" s="28">
        <f>IFERROR(VLOOKUP(Tabla29[[#This Row],[CODIGO]],[1]!Tabla6[[CODIGO]:[PRECIO VENTA]],9,0),0)</f>
        <v>0</v>
      </c>
      <c r="Q31" s="29">
        <f>IFERROR(Tabla29[[#This Row],[PRECIO DETAL USD]]*0.8,0)</f>
        <v>0</v>
      </c>
      <c r="R31" s="30">
        <f>IFERROR([1]!Tabla2[[#This Row],[STOCK]]*[1]!Tabla2[[#This Row],[COSTO]],0)</f>
        <v>-6.9600000000002632E-2</v>
      </c>
    </row>
    <row r="32" spans="1:18" x14ac:dyDescent="0.35">
      <c r="A32" s="42" t="s">
        <v>79</v>
      </c>
      <c r="B32" s="32"/>
      <c r="C32" s="32"/>
      <c r="D32" s="33">
        <v>1</v>
      </c>
      <c r="E32" s="33">
        <v>14</v>
      </c>
      <c r="F32" s="34">
        <v>4</v>
      </c>
      <c r="G32" s="35" t="s">
        <v>80</v>
      </c>
      <c r="H32" s="36" t="s">
        <v>81</v>
      </c>
      <c r="I32" s="37">
        <v>0</v>
      </c>
      <c r="J32" s="37" t="s">
        <v>43</v>
      </c>
      <c r="K32" s="38">
        <v>9</v>
      </c>
      <c r="L32" s="53"/>
      <c r="M32" s="39">
        <f>SUMIFS([1]!Tabla6[SALIDA],[1]!Tabla6[CODIGO],Tabla29[[#This Row],[CODIGO]])</f>
        <v>21487.879999999997</v>
      </c>
      <c r="N32" s="39">
        <f>SUMIFS([1]!Tabla6[ENTRADA],[1]!Tabla6[CODIGO],Tabla29[[#This Row],[CODIGO]])</f>
        <v>24791</v>
      </c>
      <c r="O32" s="45">
        <f>Tabla29[[#This Row],[DISP]]-Tabla29[[#This Row],[SALIDA]]+Tabla29[[#This Row],[ENTRADA]]</f>
        <v>3303.1200000000026</v>
      </c>
      <c r="P32" s="29">
        <f>IFERROR(VLOOKUP(Tabla29[[#This Row],[CODIGO]],[1]!Tabla6[[CODIGO]:[PRECIO VENTA]],9,0),0)</f>
        <v>8.5</v>
      </c>
      <c r="Q32" s="29">
        <f>IFERROR(Tabla29[[#This Row],[PRECIO DETAL USD]]*0.8,0)</f>
        <v>7.2</v>
      </c>
      <c r="R32" s="30">
        <f>IFERROR([1]!Tabla2[[#This Row],[STOCK]]*[1]!Tabla2[[#This Row],[COSTO]],0)</f>
        <v>1629.1062079999995</v>
      </c>
    </row>
    <row r="33" spans="1:19" hidden="1" x14ac:dyDescent="0.35">
      <c r="A33" s="42" t="s">
        <v>82</v>
      </c>
      <c r="B33" s="32"/>
      <c r="C33" s="32"/>
      <c r="D33" s="33">
        <v>1</v>
      </c>
      <c r="E33" s="33">
        <v>14</v>
      </c>
      <c r="F33" s="34">
        <v>8</v>
      </c>
      <c r="G33" s="35" t="s">
        <v>83</v>
      </c>
      <c r="H33" s="36" t="s">
        <v>84</v>
      </c>
      <c r="I33" s="37">
        <v>2</v>
      </c>
      <c r="J33" s="37" t="s">
        <v>43</v>
      </c>
      <c r="K33" s="38">
        <v>2.9</v>
      </c>
      <c r="L33" s="44"/>
      <c r="M33" s="39">
        <f>SUMIFS([1]!Tabla6[SALIDA],[1]!Tabla6[CODIGO],Tabla29[[#This Row],[CODIGO]])</f>
        <v>147.03</v>
      </c>
      <c r="N33" s="39">
        <f>SUMIFS([1]!Tabla6[ENTRADA],[1]!Tabla6[CODIGO],Tabla29[[#This Row],[CODIGO]])</f>
        <v>145</v>
      </c>
      <c r="O33" s="45">
        <f>Tabla29[[#This Row],[DISP]]-Tabla29[[#This Row],[SALIDA]]+Tabla29[[#This Row],[ENTRADA]]</f>
        <v>-3.0000000000001137E-2</v>
      </c>
      <c r="P33" s="29">
        <f>IFERROR(VLOOKUP(Tabla29[[#This Row],[CODIGO]],[1]!Tabla6[[CODIGO]:[PRECIO VENTA]],9,0),0)</f>
        <v>0</v>
      </c>
      <c r="Q33" s="29">
        <f>IFERROR(Tabla29[[#This Row],[PRECIO DETAL USD]]*0.8,0)</f>
        <v>2.3199999999999998</v>
      </c>
      <c r="R33" s="30">
        <f>IFERROR([1]!Tabla2[[#This Row],[STOCK]]*[1]!Tabla2[[#This Row],[COSTO]],0)</f>
        <v>0</v>
      </c>
      <c r="S33">
        <v>0</v>
      </c>
    </row>
    <row r="34" spans="1:19" x14ac:dyDescent="0.35">
      <c r="A34" s="42" t="s">
        <v>85</v>
      </c>
      <c r="B34" s="32"/>
      <c r="C34" s="32"/>
      <c r="D34" s="33">
        <v>10</v>
      </c>
      <c r="E34" s="33">
        <v>14</v>
      </c>
      <c r="F34" s="34">
        <v>5</v>
      </c>
      <c r="G34" s="35" t="s">
        <v>86</v>
      </c>
      <c r="H34" s="36" t="s">
        <v>87</v>
      </c>
      <c r="I34" s="37">
        <v>185</v>
      </c>
      <c r="J34" s="37" t="s">
        <v>43</v>
      </c>
      <c r="K34" s="38">
        <v>4.5</v>
      </c>
      <c r="L34" s="44"/>
      <c r="M34" s="39">
        <f>SUMIFS([1]!Tabla6[SALIDA],[1]!Tabla6[CODIGO],Tabla29[[#This Row],[CODIGO]])</f>
        <v>8985.1098000000002</v>
      </c>
      <c r="N34" s="39">
        <f>SUMIFS([1]!Tabla6[ENTRADA],[1]!Tabla6[CODIGO],Tabla29[[#This Row],[CODIGO]])</f>
        <v>9336</v>
      </c>
      <c r="O34" s="45">
        <f>Tabla29[[#This Row],[DISP]]-Tabla29[[#This Row],[SALIDA]]+Tabla29[[#This Row],[ENTRADA]]</f>
        <v>535.89019999999982</v>
      </c>
      <c r="P34" s="29">
        <f>VLOOKUP(Tabla29[[#This Row],[CODIGO]],[1]MOVIMIENTO!D$103:$L114,9,0)</f>
        <v>4.25</v>
      </c>
      <c r="Q34" s="29">
        <f>IFERROR(Tabla29[[#This Row],[PRECIO DETAL USD]]*0.8,0)</f>
        <v>3.6</v>
      </c>
      <c r="R34" s="30">
        <f>IFERROR([1]!Tabla2[[#This Row],[STOCK]]*[1]!Tabla2[[#This Row],[COSTO]],0)</f>
        <v>20592.000000000004</v>
      </c>
    </row>
    <row r="35" spans="1:19" hidden="1" x14ac:dyDescent="0.35">
      <c r="A35" s="42" t="s">
        <v>88</v>
      </c>
      <c r="B35" s="32" t="s">
        <v>89</v>
      </c>
      <c r="C35" s="32" t="s">
        <v>90</v>
      </c>
      <c r="D35" s="33">
        <v>1</v>
      </c>
      <c r="E35" s="33">
        <v>14</v>
      </c>
      <c r="F35" s="34">
        <v>1</v>
      </c>
      <c r="G35" s="35" t="s">
        <v>91</v>
      </c>
      <c r="H35" s="36" t="s">
        <v>92</v>
      </c>
      <c r="I35" s="37">
        <v>7</v>
      </c>
      <c r="J35" s="37" t="s">
        <v>43</v>
      </c>
      <c r="K35" s="38">
        <v>4.5</v>
      </c>
      <c r="L35" s="44"/>
      <c r="M35" s="39">
        <f>SUMIFS([1]!Tabla6[SALIDA],[1]!Tabla6[CODIGO],Tabla29[[#This Row],[CODIGO]])</f>
        <v>7</v>
      </c>
      <c r="N35" s="39">
        <f>SUMIFS([1]!Tabla6[ENTRADA],[1]!Tabla6[CODIGO],Tabla29[[#This Row],[CODIGO]])</f>
        <v>0</v>
      </c>
      <c r="O35" s="45">
        <f>Tabla29[[#This Row],[DISP]]-Tabla29[[#This Row],[SALIDA]]+Tabla29[[#This Row],[ENTRADA]]</f>
        <v>0</v>
      </c>
      <c r="P35" s="29">
        <f>IFERROR(VLOOKUP(Tabla29[[#This Row],[CODIGO]],[1]!Tabla6[[CODIGO]:[PRECIO VENTA]],9,0),0)</f>
        <v>0</v>
      </c>
      <c r="Q35" s="29">
        <f>IFERROR(Tabla29[[#This Row],[PRECIO DETAL USD]]*0.8,0)</f>
        <v>3.6</v>
      </c>
      <c r="R35" s="30">
        <f>IFERROR([1]!Tabla2[[#This Row],[STOCK]]*[1]!Tabla2[[#This Row],[COSTO]],0)</f>
        <v>0</v>
      </c>
    </row>
    <row r="36" spans="1:19" x14ac:dyDescent="0.35">
      <c r="A36" s="42" t="s">
        <v>93</v>
      </c>
      <c r="B36" s="32" t="s">
        <v>89</v>
      </c>
      <c r="C36" s="32" t="s">
        <v>90</v>
      </c>
      <c r="D36" s="33">
        <v>1</v>
      </c>
      <c r="E36" s="33">
        <v>14</v>
      </c>
      <c r="F36" s="34">
        <v>2</v>
      </c>
      <c r="G36" s="35" t="s">
        <v>94</v>
      </c>
      <c r="H36" s="36" t="s">
        <v>95</v>
      </c>
      <c r="I36" s="37">
        <v>0</v>
      </c>
      <c r="J36" s="37" t="s">
        <v>43</v>
      </c>
      <c r="K36" s="38">
        <v>12</v>
      </c>
      <c r="L36" s="44"/>
      <c r="M36" s="39">
        <f>SUMIFS([1]!Tabla6[SALIDA],[1]!Tabla6[CODIGO],Tabla29[[#This Row],[CODIGO]])</f>
        <v>1270</v>
      </c>
      <c r="N36" s="39">
        <f>SUMIFS([1]!Tabla6[ENTRADA],[1]!Tabla6[CODIGO],Tabla29[[#This Row],[CODIGO]])</f>
        <v>3870</v>
      </c>
      <c r="O36" s="39">
        <f>Tabla29[[#This Row],[DISP]]-Tabla29[[#This Row],[SALIDA]]+Tabla29[[#This Row],[ENTRADA]]</f>
        <v>2600</v>
      </c>
      <c r="P36" s="29">
        <f>IFERROR(VLOOKUP(Tabla29[[#This Row],[CODIGO]],[1]!Tabla6[[CODIGO]:[PRECIO VENTA]],9,0),0)</f>
        <v>0</v>
      </c>
      <c r="Q36" s="29">
        <f>IFERROR(Tabla29[[#This Row],[PRECIO DETAL USD]]*0.8,0)</f>
        <v>9.6000000000000014</v>
      </c>
      <c r="R36" s="30">
        <f>IFERROR([1]!Tabla2[[#This Row],[STOCK]]*[1]!Tabla2[[#This Row],[COSTO]],0)</f>
        <v>14756.260032000002</v>
      </c>
    </row>
    <row r="37" spans="1:19" x14ac:dyDescent="0.35">
      <c r="A37" s="42" t="s">
        <v>96</v>
      </c>
      <c r="B37" s="32" t="s">
        <v>89</v>
      </c>
      <c r="C37" s="32" t="s">
        <v>90</v>
      </c>
      <c r="D37" s="33">
        <v>1</v>
      </c>
      <c r="E37" s="33">
        <v>14</v>
      </c>
      <c r="F37" s="34">
        <v>3</v>
      </c>
      <c r="G37" s="35" t="s">
        <v>97</v>
      </c>
      <c r="H37" s="36" t="s">
        <v>98</v>
      </c>
      <c r="I37" s="37">
        <v>2806</v>
      </c>
      <c r="J37" s="37" t="s">
        <v>43</v>
      </c>
      <c r="K37" s="38">
        <v>12</v>
      </c>
      <c r="L37" s="53"/>
      <c r="M37" s="39">
        <f>SUMIFS([1]!Tabla6[SALIDA],[1]!Tabla6[CODIGO],Tabla29[[#This Row],[CODIGO]])</f>
        <v>6828</v>
      </c>
      <c r="N37" s="39">
        <f>SUMIFS([1]!Tabla6[ENTRADA],[1]!Tabla6[CODIGO],Tabla29[[#This Row],[CODIGO]])</f>
        <v>4022</v>
      </c>
      <c r="O37" s="45">
        <f>Tabla29[[#This Row],[DISP]]-Tabla29[[#This Row],[SALIDA]]+Tabla29[[#This Row],[ENTRADA]]</f>
        <v>0</v>
      </c>
      <c r="P37" s="29">
        <f>IFERROR(VLOOKUP(Tabla29[[#This Row],[CODIGO]],[1]!Tabla6[[CODIGO]:[PRECIO VENTA]],9,0),0)</f>
        <v>0</v>
      </c>
      <c r="Q37" s="29">
        <f>IFERROR(Tabla29[[#This Row],[PRECIO DETAL USD]]*0.8,0)</f>
        <v>9.6000000000000014</v>
      </c>
      <c r="R37" s="30">
        <f>IFERROR([1]!Tabla2[[#This Row],[STOCK]]*[1]!Tabla2[[#This Row],[COSTO]],0)</f>
        <v>0</v>
      </c>
    </row>
    <row r="38" spans="1:19" x14ac:dyDescent="0.35">
      <c r="A38" s="42" t="s">
        <v>99</v>
      </c>
      <c r="B38" s="32" t="s">
        <v>89</v>
      </c>
      <c r="C38" s="32" t="s">
        <v>90</v>
      </c>
      <c r="D38" s="33">
        <v>1</v>
      </c>
      <c r="E38" s="33">
        <v>14</v>
      </c>
      <c r="F38" s="34">
        <v>4</v>
      </c>
      <c r="G38" s="35" t="s">
        <v>100</v>
      </c>
      <c r="H38" s="36" t="s">
        <v>101</v>
      </c>
      <c r="I38" s="37">
        <v>4148</v>
      </c>
      <c r="J38" s="37" t="s">
        <v>43</v>
      </c>
      <c r="K38" s="38">
        <v>6</v>
      </c>
      <c r="L38" s="44"/>
      <c r="M38" s="39">
        <f>SUMIFS([1]!Tabla6[SALIDA],[1]!Tabla6[CODIGO],Tabla29[[#This Row],[CODIGO]])</f>
        <v>20899.2696</v>
      </c>
      <c r="N38" s="39">
        <f>SUMIFS([1]!Tabla6[ENTRADA],[1]!Tabla6[CODIGO],Tabla29[[#This Row],[CODIGO]])</f>
        <v>20368</v>
      </c>
      <c r="O38" s="45">
        <f>Tabla29[[#This Row],[DISP]]-Tabla29[[#This Row],[SALIDA]]+Tabla29[[#This Row],[ENTRADA]]</f>
        <v>3616.7304000000004</v>
      </c>
      <c r="P38" s="29">
        <f>IFERROR(VLOOKUP(Tabla29[[#This Row],[CODIGO]],[1]!Tabla6[[CODIGO]:[PRECIO VENTA]],9,0),0)</f>
        <v>0</v>
      </c>
      <c r="Q38" s="29">
        <f>IFERROR(Tabla29[[#This Row],[PRECIO DETAL USD]]*0.8,0)</f>
        <v>4.8000000000000007</v>
      </c>
      <c r="R38" s="30">
        <f>IFERROR([1]!Tabla2[[#This Row],[STOCK]]*[1]!Tabla2[[#This Row],[COSTO]],0)</f>
        <v>0</v>
      </c>
    </row>
    <row r="39" spans="1:19" hidden="1" x14ac:dyDescent="0.35">
      <c r="A39" s="42" t="s">
        <v>102</v>
      </c>
      <c r="B39" s="32" t="s">
        <v>89</v>
      </c>
      <c r="C39" s="32" t="s">
        <v>90</v>
      </c>
      <c r="D39" s="33">
        <v>1</v>
      </c>
      <c r="E39" s="33">
        <v>14</v>
      </c>
      <c r="F39" s="34">
        <v>5</v>
      </c>
      <c r="G39" s="35" t="s">
        <v>103</v>
      </c>
      <c r="H39" s="36" t="s">
        <v>104</v>
      </c>
      <c r="I39" s="37"/>
      <c r="J39" s="37" t="s">
        <v>43</v>
      </c>
      <c r="K39" s="38">
        <v>5.45</v>
      </c>
      <c r="L39" s="44"/>
      <c r="M39" s="39">
        <f>SUMIFS([1]!Tabla6[SALIDA],[1]!Tabla6[CODIGO],Tabla29[[#This Row],[CODIGO]])</f>
        <v>610</v>
      </c>
      <c r="N39" s="39">
        <f>SUMIFS([1]!Tabla6[ENTRADA],[1]!Tabla6[CODIGO],Tabla29[[#This Row],[CODIGO]])</f>
        <v>610</v>
      </c>
      <c r="O39" s="39">
        <f>Tabla29[[#This Row],[DISP]]-Tabla29[[#This Row],[SALIDA]]+Tabla29[[#This Row],[ENTRADA]]</f>
        <v>0</v>
      </c>
      <c r="P39" s="29">
        <f>IFERROR(VLOOKUP(Tabla29[[#This Row],[CODIGO]],[1]!Tabla6[[CODIGO]:[PRECIO VENTA]],9,0),0)</f>
        <v>0</v>
      </c>
      <c r="Q39" s="29">
        <f>IFERROR(Tabla29[[#This Row],[PRECIO DETAL USD]]*0.8,0)</f>
        <v>4.3600000000000003</v>
      </c>
      <c r="R39" s="30">
        <f>IFERROR([1]!Tabla2[[#This Row],[STOCK]]*[1]!Tabla2[[#This Row],[COSTO]],0)</f>
        <v>1432</v>
      </c>
    </row>
    <row r="40" spans="1:19" hidden="1" x14ac:dyDescent="0.35">
      <c r="A40" s="42" t="s">
        <v>105</v>
      </c>
      <c r="B40" s="32" t="s">
        <v>89</v>
      </c>
      <c r="C40" s="32" t="s">
        <v>90</v>
      </c>
      <c r="D40" s="33">
        <v>1</v>
      </c>
      <c r="E40" s="33">
        <v>14</v>
      </c>
      <c r="F40" s="34">
        <v>6</v>
      </c>
      <c r="G40" s="35" t="s">
        <v>106</v>
      </c>
      <c r="H40" s="36" t="s">
        <v>107</v>
      </c>
      <c r="I40" s="37">
        <v>3</v>
      </c>
      <c r="J40" s="37" t="s">
        <v>43</v>
      </c>
      <c r="K40" s="38">
        <v>7</v>
      </c>
      <c r="L40" s="46"/>
      <c r="M40" s="39">
        <f>SUMIFS([1]!Tabla6[SALIDA],[1]!Tabla6[CODIGO],Tabla29[[#This Row],[CODIGO]])</f>
        <v>3</v>
      </c>
      <c r="N40" s="39">
        <f>SUMIFS([1]!Tabla6[ENTRADA],[1]!Tabla6[CODIGO],Tabla29[[#This Row],[CODIGO]])</f>
        <v>0</v>
      </c>
      <c r="O40" s="45">
        <f>Tabla29[[#This Row],[DISP]]-Tabla29[[#This Row],[SALIDA]]+Tabla29[[#This Row],[ENTRADA]]</f>
        <v>0</v>
      </c>
      <c r="P40" s="29">
        <f>IFERROR(VLOOKUP(Tabla29[[#This Row],[CODIGO]],[1]!Tabla6[[CODIGO]:[PRECIO VENTA]],9,0),0)</f>
        <v>0</v>
      </c>
      <c r="Q40" s="29">
        <f>IFERROR(Tabla29[[#This Row],[PRECIO DETAL USD]]*0.8,0)</f>
        <v>5.6000000000000005</v>
      </c>
      <c r="R40" s="30">
        <f>IFERROR([1]!Tabla2[[#This Row],[STOCK]]*[1]!Tabla2[[#This Row],[COSTO]],0)</f>
        <v>0</v>
      </c>
    </row>
    <row r="41" spans="1:19" x14ac:dyDescent="0.35">
      <c r="A41" s="42" t="s">
        <v>108</v>
      </c>
      <c r="B41" s="32" t="s">
        <v>89</v>
      </c>
      <c r="C41" s="32" t="s">
        <v>90</v>
      </c>
      <c r="D41" s="33">
        <v>1</v>
      </c>
      <c r="E41" s="33">
        <v>14</v>
      </c>
      <c r="F41" s="34">
        <v>7</v>
      </c>
      <c r="G41" s="35" t="s">
        <v>109</v>
      </c>
      <c r="H41" s="36" t="s">
        <v>110</v>
      </c>
      <c r="I41" s="37">
        <v>1100</v>
      </c>
      <c r="J41" s="37" t="s">
        <v>43</v>
      </c>
      <c r="K41" s="38">
        <v>22</v>
      </c>
      <c r="L41" s="46"/>
      <c r="M41" s="39">
        <f>SUMIFS([1]!Tabla6[SALIDA],[1]!Tabla6[CODIGO],Tabla29[[#This Row],[CODIGO]])</f>
        <v>3461</v>
      </c>
      <c r="N41" s="39">
        <f>SUMIFS([1]!Tabla6[ENTRADA],[1]!Tabla6[CODIGO],Tabla29[[#This Row],[CODIGO]])</f>
        <v>2461</v>
      </c>
      <c r="O41" s="45">
        <f>Tabla29[[#This Row],[DISP]]-Tabla29[[#This Row],[SALIDA]]+Tabla29[[#This Row],[ENTRADA]]</f>
        <v>100</v>
      </c>
      <c r="P41" s="29">
        <f>IFERROR(VLOOKUP(Tabla29[[#This Row],[CODIGO]],[1]!Tabla6[[CODIGO]:[PRECIO VENTA]],9,0),0)</f>
        <v>0</v>
      </c>
      <c r="Q41" s="29">
        <f>IFERROR(Tabla29[[#This Row],[PRECIO DETAL USD]]*0.8,0)</f>
        <v>17.600000000000001</v>
      </c>
      <c r="R41" s="30">
        <f>IFERROR([1]!Tabla2[[#This Row],[STOCK]]*[1]!Tabla2[[#This Row],[COSTO]],0)</f>
        <v>0</v>
      </c>
    </row>
    <row r="42" spans="1:19" hidden="1" x14ac:dyDescent="0.35">
      <c r="A42" s="42" t="s">
        <v>111</v>
      </c>
      <c r="B42" s="56"/>
      <c r="C42" s="56"/>
      <c r="D42" s="57"/>
      <c r="E42" s="57"/>
      <c r="F42" s="58"/>
      <c r="G42" s="35" t="s">
        <v>112</v>
      </c>
      <c r="H42" s="36" t="s">
        <v>113</v>
      </c>
      <c r="I42" s="51"/>
      <c r="J42" s="37" t="s">
        <v>43</v>
      </c>
      <c r="K42" s="53">
        <v>10.75</v>
      </c>
      <c r="L42" s="63"/>
      <c r="M42" s="45">
        <f>SUMIFS([1]!Tabla6[SALIDA],[1]!Tabla6[CODIGO],Tabla29[[#This Row],[CODIGO]])</f>
        <v>106</v>
      </c>
      <c r="N42" s="45">
        <f>SUMIFS([1]!Tabla6[ENTRADA],[1]!Tabla6[CODIGO],Tabla29[[#This Row],[CODIGO]])</f>
        <v>106</v>
      </c>
      <c r="O42" s="45">
        <f>Tabla29[[#This Row],[DISP]]-Tabla29[[#This Row],[SALIDA]]+Tabla29[[#This Row],[ENTRADA]]</f>
        <v>0</v>
      </c>
      <c r="P42" s="61">
        <f>IFERROR(VLOOKUP(Tabla29[[#This Row],[CODIGO]],[1]!Tabla6[[CODIGO]:[PRECIO VENTA]],9,0),0)</f>
        <v>0</v>
      </c>
      <c r="Q42" s="29">
        <f>IFERROR(Tabla29[[#This Row],[PRECIO DETAL USD]]*0.8,0)</f>
        <v>8.6</v>
      </c>
      <c r="R42" s="30">
        <f>IFERROR([1]!Tabla2[[#This Row],[STOCK]]*[1]!Tabla2[[#This Row],[COSTO]],0)</f>
        <v>0</v>
      </c>
    </row>
    <row r="43" spans="1:19" ht="15" hidden="1" customHeight="1" x14ac:dyDescent="0.35">
      <c r="A43" s="42" t="s">
        <v>111</v>
      </c>
      <c r="B43" s="32" t="s">
        <v>89</v>
      </c>
      <c r="C43" s="32" t="s">
        <v>90</v>
      </c>
      <c r="D43" s="33">
        <v>1</v>
      </c>
      <c r="E43" s="33">
        <v>14</v>
      </c>
      <c r="F43" s="34">
        <v>8</v>
      </c>
      <c r="G43" s="35" t="s">
        <v>114</v>
      </c>
      <c r="H43" s="36" t="s">
        <v>115</v>
      </c>
      <c r="I43" s="37">
        <v>1799</v>
      </c>
      <c r="J43" s="37" t="s">
        <v>43</v>
      </c>
      <c r="K43" s="38">
        <v>26</v>
      </c>
      <c r="L43" s="53"/>
      <c r="M43" s="39">
        <f>SUMIFS([1]!Tabla6[SALIDA],[1]!Tabla6[CODIGO],Tabla29[[#This Row],[CODIGO]])</f>
        <v>2643</v>
      </c>
      <c r="N43" s="39">
        <f>SUMIFS([1]!Tabla6[ENTRADA],[1]!Tabla6[CODIGO],Tabla29[[#This Row],[CODIGO]])</f>
        <v>844</v>
      </c>
      <c r="O43" s="40">
        <f>Tabla29[[#This Row],[DISP]]-Tabla29[[#This Row],[SALIDA]]+Tabla29[[#This Row],[ENTRADA]]</f>
        <v>0</v>
      </c>
      <c r="P43" s="29">
        <f>IFERROR(VLOOKUP(Tabla29[[#This Row],[CODIGO]],[1]!Tabla6[[CODIGO]:[PRECIO VENTA]],9,0),0)</f>
        <v>0</v>
      </c>
      <c r="Q43" s="29">
        <f>IFERROR(Tabla29[[#This Row],[PRECIO DETAL USD]]*0.8,0)</f>
        <v>20.8</v>
      </c>
      <c r="R43" s="30">
        <f>IFERROR([1]!Tabla2[[#This Row],[STOCK]]*[1]!Tabla2[[#This Row],[COSTO]],0)</f>
        <v>0</v>
      </c>
    </row>
    <row r="44" spans="1:19" hidden="1" x14ac:dyDescent="0.35">
      <c r="A44" s="42" t="s">
        <v>111</v>
      </c>
      <c r="B44" s="32" t="s">
        <v>89</v>
      </c>
      <c r="C44" s="32" t="s">
        <v>90</v>
      </c>
      <c r="D44" s="33">
        <v>1</v>
      </c>
      <c r="E44" s="33">
        <v>14</v>
      </c>
      <c r="F44" s="34">
        <v>9</v>
      </c>
      <c r="G44" s="35" t="s">
        <v>116</v>
      </c>
      <c r="H44" s="36" t="s">
        <v>117</v>
      </c>
      <c r="I44" s="37">
        <v>3</v>
      </c>
      <c r="J44" s="37" t="s">
        <v>43</v>
      </c>
      <c r="K44" s="38">
        <v>17.75</v>
      </c>
      <c r="L44" s="46"/>
      <c r="M44" s="39">
        <f>SUMIFS([1]!Tabla6[SALIDA],[1]!Tabla6[CODIGO],Tabla29[[#This Row],[CODIGO]])</f>
        <v>71</v>
      </c>
      <c r="N44" s="39">
        <f>SUMIFS([1]!Tabla6[ENTRADA],[1]!Tabla6[CODIGO],Tabla29[[#This Row],[CODIGO]])</f>
        <v>68</v>
      </c>
      <c r="O44" s="45">
        <f>Tabla29[[#This Row],[DISP]]-Tabla29[[#This Row],[SALIDA]]+Tabla29[[#This Row],[ENTRADA]]</f>
        <v>0</v>
      </c>
      <c r="P44" s="29">
        <f>IFERROR(VLOOKUP(Tabla29[[#This Row],[CODIGO]],[1]!Tabla6[[CODIGO]:[PRECIO VENTA]],9,0),0)</f>
        <v>0</v>
      </c>
      <c r="Q44" s="29">
        <f>IFERROR(Tabla29[[#This Row],[PRECIO DETAL USD]]*0.8,0)</f>
        <v>14.200000000000001</v>
      </c>
      <c r="R44" s="30">
        <f>IFERROR([1]!Tabla2[[#This Row],[STOCK]]*[1]!Tabla2[[#This Row],[COSTO]],0)</f>
        <v>33.6</v>
      </c>
    </row>
    <row r="45" spans="1:19" ht="15" hidden="1" customHeight="1" x14ac:dyDescent="0.35">
      <c r="A45" s="42" t="s">
        <v>111</v>
      </c>
      <c r="B45" s="32" t="s">
        <v>89</v>
      </c>
      <c r="C45" s="32" t="s">
        <v>90</v>
      </c>
      <c r="D45" s="33">
        <v>1</v>
      </c>
      <c r="E45" s="33">
        <v>14</v>
      </c>
      <c r="F45" s="34">
        <v>10</v>
      </c>
      <c r="G45" s="35" t="s">
        <v>118</v>
      </c>
      <c r="H45" s="36" t="s">
        <v>119</v>
      </c>
      <c r="I45" s="37">
        <v>5</v>
      </c>
      <c r="J45" s="37" t="s">
        <v>43</v>
      </c>
      <c r="K45" s="38">
        <v>34</v>
      </c>
      <c r="L45" s="44"/>
      <c r="M45" s="39">
        <f>SUMIFS([1]!Tabla6[SALIDA],[1]!Tabla6[CODIGO],Tabla29[[#This Row],[CODIGO]])</f>
        <v>845</v>
      </c>
      <c r="N45" s="39">
        <f>SUMIFS([1]!Tabla6[ENTRADA],[1]!Tabla6[CODIGO],Tabla29[[#This Row],[CODIGO]])</f>
        <v>840</v>
      </c>
      <c r="O45" s="45">
        <f>Tabla29[[#This Row],[DISP]]-Tabla29[[#This Row],[SALIDA]]+Tabla29[[#This Row],[ENTRADA]]</f>
        <v>0</v>
      </c>
      <c r="P45" s="29">
        <f>IFERROR(VLOOKUP(Tabla29[[#This Row],[CODIGO]],[1]!Tabla6[[CODIGO]:[PRECIO VENTA]],9,0),0)</f>
        <v>0</v>
      </c>
      <c r="Q45" s="29">
        <f>IFERROR(Tabla29[[#This Row],[PRECIO DETAL USD]]*0.8,0)</f>
        <v>27.200000000000003</v>
      </c>
      <c r="R45" s="30">
        <f>IFERROR([1]!Tabla2[[#This Row],[STOCK]]*[1]!Tabla2[[#This Row],[COSTO]],0)</f>
        <v>900</v>
      </c>
    </row>
    <row r="46" spans="1:19" ht="15" customHeight="1" x14ac:dyDescent="0.35">
      <c r="A46" s="42" t="s">
        <v>111</v>
      </c>
      <c r="B46" s="32" t="s">
        <v>89</v>
      </c>
      <c r="C46" s="32" t="s">
        <v>90</v>
      </c>
      <c r="D46" s="33">
        <v>1</v>
      </c>
      <c r="E46" s="33">
        <v>14</v>
      </c>
      <c r="F46" s="34">
        <v>11</v>
      </c>
      <c r="G46" s="35" t="s">
        <v>120</v>
      </c>
      <c r="H46" s="36" t="s">
        <v>121</v>
      </c>
      <c r="I46" s="37">
        <v>90</v>
      </c>
      <c r="J46" s="37" t="s">
        <v>43</v>
      </c>
      <c r="K46" s="38">
        <v>42</v>
      </c>
      <c r="L46" s="53">
        <v>38</v>
      </c>
      <c r="M46" s="39">
        <f>SUMIFS([1]!Tabla6[SALIDA],[1]!Tabla6[CODIGO],Tabla29[[#This Row],[CODIGO]])</f>
        <v>93</v>
      </c>
      <c r="N46" s="39">
        <f>SUMIFS([1]!Tabla6[ENTRADA],[1]!Tabla6[CODIGO],Tabla29[[#This Row],[CODIGO]])</f>
        <v>4</v>
      </c>
      <c r="O46" s="45">
        <f>Tabla29[[#This Row],[DISP]]-Tabla29[[#This Row],[SALIDA]]+Tabla29[[#This Row],[ENTRADA]]</f>
        <v>1</v>
      </c>
      <c r="P46" s="29">
        <f>IFERROR(VLOOKUP(Tabla29[[#This Row],[CODIGO]],[1]!Tabla6[[CODIGO]:[PRECIO VENTA]],9,0),0)</f>
        <v>0</v>
      </c>
      <c r="Q46" s="29">
        <f>IFERROR(Tabla29[[#This Row],[PRECIO DETAL USD]]*0.8,0)</f>
        <v>33.6</v>
      </c>
      <c r="R46" s="30">
        <f>IFERROR([1]!Tabla2[[#This Row],[STOCK]]*[1]!Tabla2[[#This Row],[COSTO]],0)</f>
        <v>0</v>
      </c>
    </row>
    <row r="47" spans="1:19" ht="15" customHeight="1" x14ac:dyDescent="0.35">
      <c r="A47" s="42" t="s">
        <v>111</v>
      </c>
      <c r="B47" s="32" t="s">
        <v>89</v>
      </c>
      <c r="C47" s="32" t="s">
        <v>90</v>
      </c>
      <c r="D47" s="33">
        <v>1</v>
      </c>
      <c r="E47" s="33">
        <v>14</v>
      </c>
      <c r="F47" s="34">
        <v>12</v>
      </c>
      <c r="G47" s="35" t="s">
        <v>122</v>
      </c>
      <c r="H47" s="36" t="s">
        <v>123</v>
      </c>
      <c r="I47" s="37">
        <v>502</v>
      </c>
      <c r="J47" s="37" t="s">
        <v>43</v>
      </c>
      <c r="K47" s="38">
        <v>45</v>
      </c>
      <c r="L47" s="53">
        <v>44</v>
      </c>
      <c r="M47" s="39">
        <f>SUMIFS([1]!Tabla6[SALIDA],[1]!Tabla6[CODIGO],Tabla29[[#This Row],[CODIGO]])</f>
        <v>477</v>
      </c>
      <c r="N47" s="39">
        <f>SUMIFS([1]!Tabla6[ENTRADA],[1]!Tabla6[CODIGO],Tabla29[[#This Row],[CODIGO]])</f>
        <v>0</v>
      </c>
      <c r="O47" s="45">
        <f>Tabla29[[#This Row],[DISP]]-Tabla29[[#This Row],[SALIDA]]+Tabla29[[#This Row],[ENTRADA]]</f>
        <v>25</v>
      </c>
      <c r="P47" s="29">
        <f>IFERROR(VLOOKUP(Tabla29[[#This Row],[CODIGO]],[1]!Tabla6[[CODIGO]:[PRECIO VENTA]],9,0),0)</f>
        <v>0</v>
      </c>
      <c r="Q47" s="29">
        <f>IFERROR(Tabla29[[#This Row],[PRECIO DETAL USD]]*0.8,0)</f>
        <v>36</v>
      </c>
      <c r="R47" s="30">
        <f>IFERROR([1]!Tabla2[[#This Row],[STOCK]]*[1]!Tabla2[[#This Row],[COSTO]],0)</f>
        <v>13069.600000000002</v>
      </c>
    </row>
    <row r="48" spans="1:19" ht="15" customHeight="1" x14ac:dyDescent="0.4">
      <c r="A48" s="41">
        <v>6</v>
      </c>
      <c r="B48" s="20"/>
      <c r="C48" s="21"/>
      <c r="D48" s="22"/>
      <c r="E48" s="22"/>
      <c r="F48" s="22"/>
      <c r="G48" s="23" t="s">
        <v>124</v>
      </c>
      <c r="H48" s="24"/>
      <c r="I48" s="22"/>
      <c r="J48" s="25"/>
      <c r="K48" s="26" t="s">
        <v>20</v>
      </c>
      <c r="L48" s="22"/>
      <c r="M48" s="22"/>
      <c r="N48" s="22"/>
      <c r="O48" s="27" t="s">
        <v>21</v>
      </c>
      <c r="P48" s="28">
        <f>IFERROR(VLOOKUP(Tabla29[[#This Row],[CODIGO]],[1]!Tabla6[[CODIGO]:[PRECIO VENTA]],9,0),0)</f>
        <v>0</v>
      </c>
      <c r="Q48" s="29">
        <f>IFERROR(Tabla29[[#This Row],[PRECIO DETAL USD]]*0.8,0)</f>
        <v>0</v>
      </c>
      <c r="R48" s="30">
        <f>IFERROR([1]!Tabla2[[#This Row],[STOCK]]*[1]!Tabla2[[#This Row],[COSTO]],0)</f>
        <v>3510.1600000000003</v>
      </c>
    </row>
    <row r="49" spans="1:18" ht="15" customHeight="1" x14ac:dyDescent="0.35">
      <c r="A49" s="42" t="s">
        <v>125</v>
      </c>
      <c r="B49" s="32" t="s">
        <v>126</v>
      </c>
      <c r="C49" s="32" t="s">
        <v>127</v>
      </c>
      <c r="D49" s="33">
        <v>1</v>
      </c>
      <c r="E49" s="33" t="s">
        <v>128</v>
      </c>
      <c r="F49" s="34">
        <v>1</v>
      </c>
      <c r="G49" s="35" t="s">
        <v>129</v>
      </c>
      <c r="H49" s="36" t="s">
        <v>130</v>
      </c>
      <c r="I49" s="37">
        <v>3519</v>
      </c>
      <c r="J49" s="37" t="s">
        <v>43</v>
      </c>
      <c r="K49" s="38">
        <v>8.5</v>
      </c>
      <c r="L49" s="53">
        <v>7.9</v>
      </c>
      <c r="M49" s="39">
        <f>SUMIFS([1]!Tabla6[SALIDA],[1]!Tabla6[CODIGO],Tabla29[[#This Row],[CODIGO]])</f>
        <v>1642</v>
      </c>
      <c r="N49" s="39">
        <f>SUMIFS([1]!Tabla6[ENTRADA],[1]!Tabla6[CODIGO],Tabla29[[#This Row],[CODIGO]])</f>
        <v>45</v>
      </c>
      <c r="O49" s="45">
        <f>Tabla29[[#This Row],[DISP]]-Tabla29[[#This Row],[SALIDA]]+Tabla29[[#This Row],[ENTRADA]]</f>
        <v>1922</v>
      </c>
      <c r="P49" s="29">
        <f>IFERROR(VLOOKUP(Tabla29[[#This Row],[CODIGO]],[1]!Tabla6[[CODIGO]:[PRECIO VENTA]],9,0),0)</f>
        <v>0</v>
      </c>
      <c r="Q49" s="29">
        <f>IFERROR(Tabla29[[#This Row],[PRECIO DETAL USD]]*0.8,0)</f>
        <v>6.8000000000000007</v>
      </c>
      <c r="R49" s="30">
        <f>IFERROR([1]!Tabla2[[#This Row],[STOCK]]*[1]!Tabla2[[#This Row],[COSTO]],0)</f>
        <v>0</v>
      </c>
    </row>
    <row r="50" spans="1:18" x14ac:dyDescent="0.35">
      <c r="A50" s="42" t="s">
        <v>131</v>
      </c>
      <c r="B50" s="32" t="s">
        <v>126</v>
      </c>
      <c r="C50" s="32" t="s">
        <v>127</v>
      </c>
      <c r="D50" s="33">
        <v>1</v>
      </c>
      <c r="E50" s="33" t="s">
        <v>128</v>
      </c>
      <c r="F50" s="34">
        <v>2</v>
      </c>
      <c r="G50" s="35" t="s">
        <v>132</v>
      </c>
      <c r="H50" s="36" t="s">
        <v>133</v>
      </c>
      <c r="I50" s="37">
        <v>200</v>
      </c>
      <c r="J50" s="37" t="s">
        <v>43</v>
      </c>
      <c r="K50" s="38">
        <v>8.9</v>
      </c>
      <c r="L50" s="53">
        <v>8.5</v>
      </c>
      <c r="M50" s="39">
        <f>SUMIFS([1]!Tabla6[SALIDA],[1]!Tabla6[CODIGO],Tabla29[[#This Row],[CODIGO]])</f>
        <v>1067</v>
      </c>
      <c r="N50" s="39">
        <f>SUMIFS([1]!Tabla6[ENTRADA],[1]!Tabla6[CODIGO],Tabla29[[#This Row],[CODIGO]])</f>
        <v>1360</v>
      </c>
      <c r="O50" s="39">
        <f>Tabla29[[#This Row],[DISP]]-Tabla29[[#This Row],[SALIDA]]+Tabla29[[#This Row],[ENTRADA]]</f>
        <v>493</v>
      </c>
      <c r="P50" s="29">
        <f>IFERROR(VLOOKUP(Tabla29[[#This Row],[CODIGO]],[1]!Tabla6[[CODIGO]:[PRECIO VENTA]],9,0),0)</f>
        <v>0</v>
      </c>
      <c r="Q50" s="29">
        <f>IFERROR(Tabla29[[#This Row],[PRECIO DETAL USD]]*0.8,0)</f>
        <v>7.120000000000001</v>
      </c>
      <c r="R50" s="30">
        <f>IFERROR([1]!Tabla2[[#This Row],[STOCK]]*[1]!Tabla2[[#This Row],[COSTO]],0)</f>
        <v>1064</v>
      </c>
    </row>
    <row r="51" spans="1:18" ht="15" customHeight="1" x14ac:dyDescent="0.4">
      <c r="A51" s="41">
        <v>7</v>
      </c>
      <c r="B51" s="20"/>
      <c r="C51" s="21"/>
      <c r="D51" s="22"/>
      <c r="E51" s="22"/>
      <c r="F51" s="22"/>
      <c r="G51" s="23" t="s">
        <v>134</v>
      </c>
      <c r="H51" s="24"/>
      <c r="I51" s="22"/>
      <c r="J51" s="25"/>
      <c r="K51" s="26" t="s">
        <v>20</v>
      </c>
      <c r="L51" s="22"/>
      <c r="M51" s="22"/>
      <c r="N51" s="22"/>
      <c r="O51" s="27" t="s">
        <v>21</v>
      </c>
      <c r="P51" s="28">
        <f>IFERROR(VLOOKUP(Tabla29[[#This Row],[CODIGO]],[1]!Tabla6[[CODIGO]:[PRECIO VENTA]],9,0),0)</f>
        <v>0</v>
      </c>
      <c r="Q51" s="29">
        <f>IFERROR(Tabla29[[#This Row],[PRECIO DETAL USD]]*0.8,0)</f>
        <v>0</v>
      </c>
      <c r="R51" s="30">
        <f>IFERROR([1]!Tabla2[[#This Row],[STOCK]]*[1]!Tabla2[[#This Row],[COSTO]],0)</f>
        <v>0</v>
      </c>
    </row>
    <row r="52" spans="1:18" ht="15" customHeight="1" x14ac:dyDescent="0.35">
      <c r="A52" s="42" t="s">
        <v>135</v>
      </c>
      <c r="B52" s="32" t="s">
        <v>136</v>
      </c>
      <c r="C52" s="32" t="s">
        <v>137</v>
      </c>
      <c r="D52" s="33">
        <v>1</v>
      </c>
      <c r="E52" s="33">
        <v>1</v>
      </c>
      <c r="F52" s="34">
        <v>1</v>
      </c>
      <c r="G52" s="35" t="s">
        <v>138</v>
      </c>
      <c r="H52" s="36" t="s">
        <v>139</v>
      </c>
      <c r="I52" s="37">
        <v>718</v>
      </c>
      <c r="J52" s="43" t="s">
        <v>43</v>
      </c>
      <c r="K52" s="38">
        <v>7.5</v>
      </c>
      <c r="L52" s="44"/>
      <c r="M52" s="39">
        <f>SUMIFS([1]!Tabla6[SALIDA],[1]!Tabla6[CODIGO],Tabla29[[#This Row],[CODIGO]])</f>
        <v>331</v>
      </c>
      <c r="N52" s="39">
        <f>SUMIFS([1]!Tabla6[ENTRADA],[1]!Tabla6[CODIGO],Tabla29[[#This Row],[CODIGO]])</f>
        <v>0</v>
      </c>
      <c r="O52" s="45">
        <f>Tabla29[[#This Row],[DISP]]-Tabla29[[#This Row],[SALIDA]]+Tabla29[[#This Row],[ENTRADA]]</f>
        <v>387</v>
      </c>
      <c r="P52" s="29">
        <f>IFERROR(VLOOKUP(Tabla29[[#This Row],[CODIGO]],[1]!Tabla6[[CODIGO]:[PRECIO VENTA]],9,0),0)</f>
        <v>0</v>
      </c>
      <c r="Q52" s="29">
        <f>IFERROR(Tabla29[[#This Row],[PRECIO DETAL USD]]*0.8,0)</f>
        <v>6</v>
      </c>
      <c r="R52" s="30">
        <f>IFERROR([1]!Tabla2[[#This Row],[STOCK]]*[1]!Tabla2[[#This Row],[COSTO]],0)</f>
        <v>2117.2799999999997</v>
      </c>
    </row>
    <row r="53" spans="1:18" ht="15" customHeight="1" x14ac:dyDescent="0.4">
      <c r="A53" s="41">
        <v>8</v>
      </c>
      <c r="B53" s="20"/>
      <c r="C53" s="21"/>
      <c r="D53" s="22"/>
      <c r="E53" s="22"/>
      <c r="F53" s="22"/>
      <c r="G53" s="23" t="s">
        <v>140</v>
      </c>
      <c r="H53" s="24"/>
      <c r="I53" s="22"/>
      <c r="J53" s="25"/>
      <c r="K53" s="26" t="s">
        <v>20</v>
      </c>
      <c r="L53" s="22"/>
      <c r="M53" s="22"/>
      <c r="N53" s="22"/>
      <c r="O53" s="27" t="s">
        <v>21</v>
      </c>
      <c r="P53" s="28">
        <f>IFERROR(VLOOKUP(Tabla29[[#This Row],[CODIGO]],[1]!Tabla6[[CODIGO]:[PRECIO VENTA]],9,0),0)</f>
        <v>0</v>
      </c>
      <c r="Q53" s="29">
        <f>IFERROR(Tabla29[[#This Row],[PRECIO DETAL USD]]*0.8,0)</f>
        <v>0</v>
      </c>
      <c r="R53" s="30">
        <f>IFERROR([1]!Tabla2[[#This Row],[STOCK]]*[1]!Tabla2[[#This Row],[COSTO]],0)</f>
        <v>1013.248</v>
      </c>
    </row>
    <row r="54" spans="1:18" ht="15" customHeight="1" x14ac:dyDescent="0.35">
      <c r="A54" s="42" t="s">
        <v>141</v>
      </c>
      <c r="B54" s="32" t="s">
        <v>142</v>
      </c>
      <c r="C54" s="32" t="s">
        <v>143</v>
      </c>
      <c r="D54" s="33">
        <v>1</v>
      </c>
      <c r="E54" s="33">
        <v>13</v>
      </c>
      <c r="F54" s="34">
        <v>7</v>
      </c>
      <c r="G54" s="59" t="s">
        <v>144</v>
      </c>
      <c r="H54" s="60" t="s">
        <v>145</v>
      </c>
      <c r="I54" s="37"/>
      <c r="J54" s="43" t="s">
        <v>146</v>
      </c>
      <c r="K54" s="38">
        <v>76.319999999999993</v>
      </c>
      <c r="L54" s="38">
        <v>73.14</v>
      </c>
      <c r="M54" s="39">
        <f>SUMIFS([1]!Tabla6[SALIDA],[1]!Tabla6[CODIGO],Tabla29[[#This Row],[CODIGO]])</f>
        <v>17</v>
      </c>
      <c r="N54" s="39">
        <f>SUMIFS([1]!Tabla6[ENTRADA],[1]!Tabla6[CODIGO],Tabla29[[#This Row],[CODIGO]])</f>
        <v>50</v>
      </c>
      <c r="O54" s="45">
        <f>Tabla29[[#This Row],[DISP]]-Tabla29[[#This Row],[SALIDA]]+Tabla29[[#This Row],[ENTRADA]]</f>
        <v>33</v>
      </c>
      <c r="P54" s="29">
        <f>IFERROR(VLOOKUP(Tabla29[[#This Row],[CODIGO]],[1]!Tabla6[[CODIGO]:[PRECIO VENTA]],9,0),0)</f>
        <v>77.671232876712338</v>
      </c>
      <c r="Q54" s="29">
        <f>IFERROR(Tabla29[[#This Row],[PRECIO DETAL USD]]*0.8,0)</f>
        <v>61.055999999999997</v>
      </c>
      <c r="R54" s="30">
        <f>IFERROR([1]!Tabla2[[#This Row],[STOCK]]*[1]!Tabla2[[#This Row],[COSTO]],0)</f>
        <v>300.04800000000006</v>
      </c>
    </row>
    <row r="55" spans="1:18" ht="15" customHeight="1" x14ac:dyDescent="0.35">
      <c r="A55" s="42" t="s">
        <v>147</v>
      </c>
      <c r="B55" s="32"/>
      <c r="C55" s="32"/>
      <c r="D55" s="33">
        <v>1</v>
      </c>
      <c r="E55" s="33">
        <v>13</v>
      </c>
      <c r="F55" s="34">
        <v>8</v>
      </c>
      <c r="G55" s="59" t="s">
        <v>148</v>
      </c>
      <c r="H55" s="60" t="s">
        <v>149</v>
      </c>
      <c r="I55" s="37">
        <v>14</v>
      </c>
      <c r="J55" s="43" t="s">
        <v>150</v>
      </c>
      <c r="K55" s="38">
        <v>92.22</v>
      </c>
      <c r="L55" s="38"/>
      <c r="M55" s="39">
        <f>SUMIFS([1]!Tabla6[SALIDA],[1]!Tabla6[CODIGO],Tabla29[[#This Row],[CODIGO]])</f>
        <v>0</v>
      </c>
      <c r="N55" s="39">
        <f>SUMIFS([1]!Tabla6[ENTRADA],[1]!Tabla6[CODIGO],Tabla29[[#This Row],[CODIGO]])</f>
        <v>40</v>
      </c>
      <c r="O55" s="45">
        <f>Tabla29[[#This Row],[DISP]]-Tabla29[[#This Row],[SALIDA]]+Tabla29[[#This Row],[ENTRADA]]</f>
        <v>54</v>
      </c>
      <c r="P55" s="29">
        <f>IFERROR(VLOOKUP(Tabla29[[#This Row],[CODIGO]],[1]!Tabla6[[CODIGO]:[PRECIO VENTA]],9,0),0)</f>
        <v>106.84931506849315</v>
      </c>
      <c r="Q55" s="29">
        <f>IFERROR(Tabla29[[#This Row],[PRECIO DETAL USD]]*0.8,0)</f>
        <v>73.775999999999996</v>
      </c>
      <c r="R55" s="30">
        <f>IFERROR([1]!Tabla2[[#This Row],[STOCK]]*[1]!Tabla2[[#This Row],[COSTO]],0)</f>
        <v>626.41600000000005</v>
      </c>
    </row>
    <row r="56" spans="1:18" ht="15" customHeight="1" x14ac:dyDescent="0.35">
      <c r="A56" s="42" t="s">
        <v>151</v>
      </c>
      <c r="B56" s="56"/>
      <c r="C56" s="56"/>
      <c r="D56" s="57"/>
      <c r="E56" s="57"/>
      <c r="F56" s="58"/>
      <c r="G56" s="59" t="s">
        <v>152</v>
      </c>
      <c r="H56" s="60" t="s">
        <v>153</v>
      </c>
      <c r="I56" s="51"/>
      <c r="J56" s="52" t="s">
        <v>146</v>
      </c>
      <c r="K56" s="53">
        <v>147.03</v>
      </c>
      <c r="L56" s="64"/>
      <c r="M56" s="45">
        <f>SUMIFS([1]!Tabla6[SALIDA],[1]!Tabla6[CODIGO],Tabla29[[#This Row],[CODIGO]])</f>
        <v>0</v>
      </c>
      <c r="N56" s="45">
        <f>SUMIFS([1]!Tabla6[ENTRADA],[1]!Tabla6[CODIGO],Tabla29[[#This Row],[CODIGO]])</f>
        <v>4</v>
      </c>
      <c r="O56" s="45">
        <f>Tabla29[[#This Row],[DISP]]-Tabla29[[#This Row],[SALIDA]]+Tabla29[[#This Row],[ENTRADA]]</f>
        <v>4</v>
      </c>
      <c r="P56" s="61">
        <f>IFERROR(VLOOKUP(Tabla29[[#This Row],[CODIGO]],[1]!Tabla6[[CODIGO]:[PRECIO VENTA]],9,0),0)</f>
        <v>140</v>
      </c>
      <c r="Q56" s="29">
        <f>IFERROR(Tabla29[[#This Row],[PRECIO DETAL USD]]*0.8,0)</f>
        <v>117.62400000000001</v>
      </c>
      <c r="R56" s="30">
        <f>IFERROR([1]!Tabla2[[#This Row],[STOCK]]*[1]!Tabla2[[#This Row],[COSTO]],0)</f>
        <v>200</v>
      </c>
    </row>
    <row r="57" spans="1:18" ht="15" customHeight="1" x14ac:dyDescent="0.35">
      <c r="A57" s="42" t="s">
        <v>154</v>
      </c>
      <c r="B57" s="32" t="s">
        <v>142</v>
      </c>
      <c r="C57" s="32" t="s">
        <v>143</v>
      </c>
      <c r="D57" s="33">
        <v>1</v>
      </c>
      <c r="E57" s="33">
        <v>13</v>
      </c>
      <c r="F57" s="34">
        <v>2</v>
      </c>
      <c r="G57" s="59" t="s">
        <v>155</v>
      </c>
      <c r="H57" s="60" t="s">
        <v>156</v>
      </c>
      <c r="I57" s="37">
        <v>7</v>
      </c>
      <c r="J57" s="43" t="s">
        <v>146</v>
      </c>
      <c r="K57" s="38">
        <v>156.66</v>
      </c>
      <c r="L57" s="44"/>
      <c r="M57" s="39">
        <f>SUMIFS([1]!Tabla6[SALIDA],[1]!Tabla6[CODIGO],Tabla29[[#This Row],[CODIGO]])</f>
        <v>0</v>
      </c>
      <c r="N57" s="39">
        <f>SUMIFS([1]!Tabla6[ENTRADA],[1]!Tabla6[CODIGO],Tabla29[[#This Row],[CODIGO]])</f>
        <v>1</v>
      </c>
      <c r="O57" s="45">
        <f>Tabla29[[#This Row],[DISP]]-Tabla29[[#This Row],[SALIDA]]+Tabla29[[#This Row],[ENTRADA]]</f>
        <v>8</v>
      </c>
      <c r="P57" s="29">
        <f>IFERROR(VLOOKUP(Tabla29[[#This Row],[CODIGO]],[1]!Tabla6[[CODIGO]:[PRECIO VENTA]],9,0),0)</f>
        <v>148.57142857142858</v>
      </c>
      <c r="Q57" s="29">
        <f>IFERROR(Tabla29[[#This Row],[PRECIO DETAL USD]]*0.8,0)</f>
        <v>125.328</v>
      </c>
      <c r="R57" s="30">
        <f>IFERROR([1]!Tabla2[[#This Row],[STOCK]]*[1]!Tabla2[[#This Row],[COSTO]],0)</f>
        <v>140</v>
      </c>
    </row>
    <row r="58" spans="1:18" ht="15" customHeight="1" x14ac:dyDescent="0.35">
      <c r="A58" s="42" t="s">
        <v>157</v>
      </c>
      <c r="B58" s="32" t="s">
        <v>142</v>
      </c>
      <c r="C58" s="32" t="s">
        <v>143</v>
      </c>
      <c r="D58" s="33">
        <v>1</v>
      </c>
      <c r="E58" s="33">
        <v>13</v>
      </c>
      <c r="F58" s="34">
        <v>3</v>
      </c>
      <c r="G58" s="59" t="s">
        <v>158</v>
      </c>
      <c r="H58" s="60" t="s">
        <v>159</v>
      </c>
      <c r="I58" s="37">
        <v>5</v>
      </c>
      <c r="J58" s="43" t="s">
        <v>146</v>
      </c>
      <c r="K58" s="38">
        <v>153.69999999999999</v>
      </c>
      <c r="L58" s="44"/>
      <c r="M58" s="39">
        <f>SUMIFS([1]!Tabla6[SALIDA],[1]!Tabla6[CODIGO],Tabla29[[#This Row],[CODIGO]])</f>
        <v>0</v>
      </c>
      <c r="N58" s="39">
        <f>SUMIFS([1]!Tabla6[ENTRADA],[1]!Tabla6[CODIGO],Tabla29[[#This Row],[CODIGO]])</f>
        <v>0</v>
      </c>
      <c r="O58" s="45">
        <f>Tabla29[[#This Row],[DISP]]-Tabla29[[#This Row],[SALIDA]]+Tabla29[[#This Row],[ENTRADA]]</f>
        <v>5</v>
      </c>
      <c r="P58" s="29">
        <f>IFERROR(VLOOKUP(Tabla29[[#This Row],[CODIGO]],[1]!Tabla6[[CODIGO]:[PRECIO VENTA]],9,0),0)</f>
        <v>0</v>
      </c>
      <c r="Q58" s="29">
        <f>IFERROR(Tabla29[[#This Row],[PRECIO DETAL USD]]*0.8,0)</f>
        <v>122.96</v>
      </c>
      <c r="R58" s="30">
        <f>IFERROR([1]!Tabla2[[#This Row],[STOCK]]*[1]!Tabla2[[#This Row],[COSTO]],0)</f>
        <v>0</v>
      </c>
    </row>
    <row r="59" spans="1:18" ht="15" customHeight="1" x14ac:dyDescent="0.35">
      <c r="A59" s="42" t="s">
        <v>160</v>
      </c>
      <c r="B59" s="32" t="s">
        <v>142</v>
      </c>
      <c r="C59" s="32" t="s">
        <v>143</v>
      </c>
      <c r="D59" s="33">
        <v>1</v>
      </c>
      <c r="E59" s="33">
        <v>13</v>
      </c>
      <c r="F59" s="34">
        <v>4</v>
      </c>
      <c r="G59" s="59" t="s">
        <v>161</v>
      </c>
      <c r="H59" s="60" t="s">
        <v>162</v>
      </c>
      <c r="I59" s="37">
        <v>3</v>
      </c>
      <c r="J59" s="43" t="s">
        <v>146</v>
      </c>
      <c r="K59" s="38">
        <v>136.74</v>
      </c>
      <c r="L59" s="44"/>
      <c r="M59" s="39">
        <f>SUMIFS([1]!Tabla6[SALIDA],[1]!Tabla6[CODIGO],Tabla29[[#This Row],[CODIGO]])</f>
        <v>0</v>
      </c>
      <c r="N59" s="39">
        <f>SUMIFS([1]!Tabla6[ENTRADA],[1]!Tabla6[CODIGO],Tabla29[[#This Row],[CODIGO]])</f>
        <v>0</v>
      </c>
      <c r="O59" s="45">
        <f>Tabla29[[#This Row],[DISP]]-Tabla29[[#This Row],[SALIDA]]+Tabla29[[#This Row],[ENTRADA]]</f>
        <v>3</v>
      </c>
      <c r="P59" s="29">
        <f>IFERROR(VLOOKUP(Tabla29[[#This Row],[CODIGO]],[1]!Tabla6[[CODIGO]:[PRECIO VENTA]],9,0),0)</f>
        <v>0</v>
      </c>
      <c r="Q59" s="29">
        <f>IFERROR(Tabla29[[#This Row],[PRECIO DETAL USD]]*0.8,0)</f>
        <v>109.39200000000001</v>
      </c>
      <c r="R59" s="30">
        <f>IFERROR([1]!Tabla2[[#This Row],[STOCK]]*[1]!Tabla2[[#This Row],[COSTO]],0)</f>
        <v>93.600000000000009</v>
      </c>
    </row>
    <row r="60" spans="1:18" x14ac:dyDescent="0.35">
      <c r="A60" s="42" t="s">
        <v>163</v>
      </c>
      <c r="B60" s="32" t="s">
        <v>142</v>
      </c>
      <c r="C60" s="32" t="s">
        <v>143</v>
      </c>
      <c r="D60" s="33">
        <v>1</v>
      </c>
      <c r="E60" s="33">
        <v>13</v>
      </c>
      <c r="F60" s="34">
        <v>5</v>
      </c>
      <c r="G60" s="59" t="s">
        <v>164</v>
      </c>
      <c r="H60" s="60" t="s">
        <v>165</v>
      </c>
      <c r="I60" s="37">
        <v>2</v>
      </c>
      <c r="J60" s="43" t="s">
        <v>146</v>
      </c>
      <c r="K60" s="38">
        <v>177.02</v>
      </c>
      <c r="L60" s="44"/>
      <c r="M60" s="39">
        <f>SUMIFS([1]!Tabla6[SALIDA],[1]!Tabla6[CODIGO],Tabla29[[#This Row],[CODIGO]])</f>
        <v>1</v>
      </c>
      <c r="N60" s="39">
        <f>SUMIFS([1]!Tabla6[ENTRADA],[1]!Tabla6[CODIGO],Tabla29[[#This Row],[CODIGO]])</f>
        <v>0</v>
      </c>
      <c r="O60" s="45">
        <f>Tabla29[[#This Row],[DISP]]-Tabla29[[#This Row],[SALIDA]]+Tabla29[[#This Row],[ENTRADA]]</f>
        <v>1</v>
      </c>
      <c r="P60" s="29">
        <f>IFERROR(VLOOKUP(Tabla29[[#This Row],[CODIGO]],[1]!Tabla6[[CODIGO]:[PRECIO VENTA]],9,0),0)</f>
        <v>0</v>
      </c>
      <c r="Q60" s="29">
        <f>IFERROR(Tabla29[[#This Row],[PRECIO DETAL USD]]*0.8,0)</f>
        <v>141.61600000000001</v>
      </c>
      <c r="R60" s="30">
        <f>IFERROR([1]!Tabla2[[#This Row],[STOCK]]*[1]!Tabla2[[#This Row],[COSTO]],0)</f>
        <v>2137.2000000000003</v>
      </c>
    </row>
    <row r="61" spans="1:18" hidden="1" x14ac:dyDescent="0.35">
      <c r="A61" s="42" t="s">
        <v>166</v>
      </c>
      <c r="B61" s="32" t="s">
        <v>142</v>
      </c>
      <c r="C61" s="32" t="s">
        <v>143</v>
      </c>
      <c r="D61" s="33">
        <v>1</v>
      </c>
      <c r="E61" s="33">
        <v>13</v>
      </c>
      <c r="F61" s="34">
        <v>6</v>
      </c>
      <c r="G61" s="35" t="s">
        <v>167</v>
      </c>
      <c r="H61" s="36" t="s">
        <v>168</v>
      </c>
      <c r="I61" s="37">
        <v>4</v>
      </c>
      <c r="J61" s="43" t="s">
        <v>146</v>
      </c>
      <c r="K61" s="38">
        <v>169</v>
      </c>
      <c r="L61" s="44"/>
      <c r="M61" s="39">
        <f>SUMIFS([1]!Tabla6[SALIDA],[1]!Tabla6[CODIGO],Tabla29[[#This Row],[CODIGO]])</f>
        <v>4</v>
      </c>
      <c r="N61" s="39">
        <f>SUMIFS([1]!Tabla6[ENTRADA],[1]!Tabla6[CODIGO],Tabla29[[#This Row],[CODIGO]])</f>
        <v>0</v>
      </c>
      <c r="O61" s="39">
        <f>Tabla29[[#This Row],[DISP]]-Tabla29[[#This Row],[SALIDA]]+Tabla29[[#This Row],[ENTRADA]]</f>
        <v>0</v>
      </c>
      <c r="P61" s="29">
        <f>IFERROR(VLOOKUP(Tabla29[[#This Row],[CODIGO]],[1]!Tabla6[[CODIGO]:[PRECIO VENTA]],9,0),0)</f>
        <v>0</v>
      </c>
      <c r="Q61" s="29">
        <f>IFERROR(Tabla29[[#This Row],[PRECIO DETAL USD]]*0.8,0)</f>
        <v>135.20000000000002</v>
      </c>
      <c r="R61" s="30">
        <f>IFERROR([1]!Tabla2[[#This Row],[STOCK]]*[1]!Tabla2[[#This Row],[COSTO]],0)</f>
        <v>1696.68</v>
      </c>
    </row>
    <row r="62" spans="1:18" x14ac:dyDescent="0.35">
      <c r="A62" s="42" t="s">
        <v>169</v>
      </c>
      <c r="B62" s="48"/>
      <c r="C62" s="48"/>
      <c r="D62" s="49"/>
      <c r="E62" s="49"/>
      <c r="F62" s="50"/>
      <c r="G62" s="59" t="s">
        <v>170</v>
      </c>
      <c r="H62" s="60" t="s">
        <v>171</v>
      </c>
      <c r="I62" s="51"/>
      <c r="J62" s="52" t="s">
        <v>146</v>
      </c>
      <c r="K62" s="53">
        <v>351.68</v>
      </c>
      <c r="L62" s="65"/>
      <c r="M62" s="45">
        <f>SUMIFS([1]!Tabla6[SALIDA],[1]!Tabla6[CODIGO],Tabla29[[#This Row],[CODIGO]])</f>
        <v>0</v>
      </c>
      <c r="N62" s="45">
        <f>SUMIFS([1]!Tabla6[ENTRADA],[1]!Tabla6[CODIGO],Tabla29[[#This Row],[CODIGO]])</f>
        <v>1</v>
      </c>
      <c r="O62" s="45">
        <f>Tabla29[[#This Row],[DISP]]-Tabla29[[#This Row],[SALIDA]]+Tabla29[[#This Row],[ENTRADA]]</f>
        <v>1</v>
      </c>
      <c r="P62" s="66">
        <f>IFERROR(VLOOKUP(Tabla29[[#This Row],[CODIGO]],[1]!Tabla6[[CODIGO]:[PRECIO VENTA]],9,0),0)</f>
        <v>0</v>
      </c>
      <c r="Q62" s="67">
        <f>IFERROR(Tabla29[[#This Row],[PRECIO DETAL USD]]*0.8,0)</f>
        <v>281.34399999999999</v>
      </c>
      <c r="R62" s="68">
        <f>IFERROR([1]!Tabla2[[#This Row],[STOCK]]*[1]!Tabla2[[#This Row],[COSTO]],0)</f>
        <v>31.359999999999996</v>
      </c>
    </row>
    <row r="63" spans="1:18" ht="15" customHeight="1" x14ac:dyDescent="0.4">
      <c r="A63" s="41">
        <v>9</v>
      </c>
      <c r="B63" s="20"/>
      <c r="C63" s="21"/>
      <c r="D63" s="22"/>
      <c r="E63" s="22"/>
      <c r="F63" s="22"/>
      <c r="G63" s="23" t="s">
        <v>172</v>
      </c>
      <c r="H63" s="24"/>
      <c r="I63" s="22"/>
      <c r="J63" s="25"/>
      <c r="K63" s="26" t="s">
        <v>20</v>
      </c>
      <c r="L63" s="22"/>
      <c r="M63" s="22"/>
      <c r="N63" s="22"/>
      <c r="O63" s="27" t="s">
        <v>21</v>
      </c>
      <c r="P63" s="28">
        <f>IFERROR(VLOOKUP(Tabla29[[#This Row],[CODIGO]],[1]!Tabla6[[CODIGO]:[PRECIO VENTA]],9,0),0)</f>
        <v>0</v>
      </c>
      <c r="Q63" s="29">
        <f>IFERROR(Tabla29[[#This Row],[PRECIO DETAL USD]]*0.8,0)</f>
        <v>0</v>
      </c>
      <c r="R63" s="30">
        <f>IFERROR([1]!Tabla2[[#This Row],[STOCK]]*[1]!Tabla2[[#This Row],[COSTO]],0)</f>
        <v>89.68</v>
      </c>
    </row>
    <row r="64" spans="1:18" ht="15" customHeight="1" x14ac:dyDescent="0.35">
      <c r="A64" s="42" t="s">
        <v>173</v>
      </c>
      <c r="B64" s="32" t="s">
        <v>174</v>
      </c>
      <c r="C64" s="32" t="s">
        <v>143</v>
      </c>
      <c r="D64" s="33">
        <v>2</v>
      </c>
      <c r="E64" s="33">
        <v>13</v>
      </c>
      <c r="F64" s="34">
        <v>1</v>
      </c>
      <c r="G64" s="59" t="s">
        <v>175</v>
      </c>
      <c r="H64" s="60" t="s">
        <v>176</v>
      </c>
      <c r="I64" s="37">
        <v>279</v>
      </c>
      <c r="J64" s="43" t="s">
        <v>146</v>
      </c>
      <c r="K64" s="38">
        <v>16.96</v>
      </c>
      <c r="L64" s="38">
        <v>15.37</v>
      </c>
      <c r="M64" s="39">
        <f>SUMIFS([1]!Tabla6[SALIDA],[1]!Tabla6[CODIGO],Tabla29[[#This Row],[CODIGO]])</f>
        <v>1</v>
      </c>
      <c r="N64" s="39">
        <f>SUMIFS([1]!Tabla6[ENTRADA],[1]!Tabla6[CODIGO],Tabla29[[#This Row],[CODIGO]])</f>
        <v>0</v>
      </c>
      <c r="O64" s="45">
        <f>Tabla29[[#This Row],[DISP]]-Tabla29[[#This Row],[SALIDA]]+Tabla29[[#This Row],[ENTRADA]]</f>
        <v>278</v>
      </c>
      <c r="P64" s="29">
        <f>IFERROR(VLOOKUP(Tabla29[[#This Row],[CODIGO]],[1]!Tabla6[[CODIGO]:[PRECIO VENTA]],9,0),0)</f>
        <v>0</v>
      </c>
      <c r="Q64" s="29">
        <f>IFERROR(Tabla29[[#This Row],[PRECIO DETAL USD]]*0.8,0)</f>
        <v>13.568000000000001</v>
      </c>
      <c r="R64" s="30">
        <f>IFERROR([1]!Tabla2[[#This Row],[STOCK]]*[1]!Tabla2[[#This Row],[COSTO]],0)</f>
        <v>83.6</v>
      </c>
    </row>
    <row r="65" spans="1:18" ht="15" customHeight="1" x14ac:dyDescent="0.35">
      <c r="A65" s="42" t="s">
        <v>177</v>
      </c>
      <c r="B65" s="32" t="s">
        <v>174</v>
      </c>
      <c r="C65" s="32" t="s">
        <v>143</v>
      </c>
      <c r="D65" s="33">
        <v>2</v>
      </c>
      <c r="E65" s="33">
        <v>13</v>
      </c>
      <c r="F65" s="34">
        <v>2</v>
      </c>
      <c r="G65" s="59" t="s">
        <v>178</v>
      </c>
      <c r="H65" s="60" t="s">
        <v>179</v>
      </c>
      <c r="I65" s="37">
        <v>1489</v>
      </c>
      <c r="J65" s="43" t="s">
        <v>146</v>
      </c>
      <c r="K65" s="38">
        <v>10.54</v>
      </c>
      <c r="L65" s="38">
        <v>8.48</v>
      </c>
      <c r="M65" s="39">
        <f>SUMIFS([1]!Tabla6[SALIDA],[1]!Tabla6[CODIGO],Tabla29[[#This Row],[CODIGO]])</f>
        <v>46</v>
      </c>
      <c r="N65" s="39">
        <f>SUMIFS([1]!Tabla6[ENTRADA],[1]!Tabla6[CODIGO],Tabla29[[#This Row],[CODIGO]])</f>
        <v>0</v>
      </c>
      <c r="O65" s="45">
        <f>Tabla29[[#This Row],[DISP]]-Tabla29[[#This Row],[SALIDA]]+Tabla29[[#This Row],[ENTRADA]]</f>
        <v>1443</v>
      </c>
      <c r="P65" s="29">
        <f>IFERROR(VLOOKUP(Tabla29[[#This Row],[CODIGO]],[1]!Tabla6[[CODIGO]:[PRECIO VENTA]],9,0),0)</f>
        <v>0</v>
      </c>
      <c r="Q65" s="29">
        <f>IFERROR(Tabla29[[#This Row],[PRECIO DETAL USD]]*0.8,0)</f>
        <v>8.4320000000000004</v>
      </c>
      <c r="R65" s="30">
        <f>IFERROR([1]!Tabla2[[#This Row],[STOCK]]*[1]!Tabla2[[#This Row],[COSTO]],0)</f>
        <v>273.84000000000003</v>
      </c>
    </row>
    <row r="66" spans="1:18" ht="15" customHeight="1" x14ac:dyDescent="0.35">
      <c r="A66" s="42" t="s">
        <v>180</v>
      </c>
      <c r="B66" s="32" t="s">
        <v>174</v>
      </c>
      <c r="C66" s="32" t="s">
        <v>143</v>
      </c>
      <c r="D66" s="33">
        <v>2</v>
      </c>
      <c r="E66" s="33">
        <v>13</v>
      </c>
      <c r="F66" s="34">
        <v>3</v>
      </c>
      <c r="G66" s="59" t="s">
        <v>181</v>
      </c>
      <c r="H66" s="60" t="s">
        <v>182</v>
      </c>
      <c r="I66" s="37">
        <v>29</v>
      </c>
      <c r="J66" s="43" t="s">
        <v>146</v>
      </c>
      <c r="K66" s="38">
        <v>34.5</v>
      </c>
      <c r="L66" s="38">
        <v>26.5</v>
      </c>
      <c r="M66" s="39">
        <f>SUMIFS([1]!Tabla6[SALIDA],[1]!Tabla6[CODIGO],Tabla29[[#This Row],[CODIGO]])</f>
        <v>29</v>
      </c>
      <c r="N66" s="39">
        <f>SUMIFS([1]!Tabla6[ENTRADA],[1]!Tabla6[CODIGO],Tabla29[[#This Row],[CODIGO]])</f>
        <v>0</v>
      </c>
      <c r="O66" s="45">
        <f>Tabla29[[#This Row],[DISP]]-Tabla29[[#This Row],[SALIDA]]+Tabla29[[#This Row],[ENTRADA]]</f>
        <v>0</v>
      </c>
      <c r="P66" s="29">
        <f>IFERROR(VLOOKUP(Tabla29[[#This Row],[CODIGO]],[1]!Tabla6[[CODIGO]:[PRECIO VENTA]],9,0),0)</f>
        <v>0</v>
      </c>
      <c r="Q66" s="29">
        <f>IFERROR(Tabla29[[#This Row],[PRECIO DETAL USD]]*0.8,0)</f>
        <v>27.6</v>
      </c>
      <c r="R66" s="30">
        <f>IFERROR([1]!Tabla2[[#This Row],[STOCK]]*[1]!Tabla2[[#This Row],[COSTO]],0)</f>
        <v>571.20000000000005</v>
      </c>
    </row>
    <row r="67" spans="1:18" ht="15" customHeight="1" x14ac:dyDescent="0.35">
      <c r="A67" s="42" t="s">
        <v>183</v>
      </c>
      <c r="B67" s="32" t="s">
        <v>174</v>
      </c>
      <c r="C67" s="32" t="s">
        <v>143</v>
      </c>
      <c r="D67" s="33">
        <v>2</v>
      </c>
      <c r="E67" s="33">
        <v>13</v>
      </c>
      <c r="F67" s="34">
        <v>4</v>
      </c>
      <c r="G67" s="59" t="s">
        <v>184</v>
      </c>
      <c r="H67" s="60" t="s">
        <v>185</v>
      </c>
      <c r="I67" s="37">
        <v>85</v>
      </c>
      <c r="J67" s="43" t="s">
        <v>146</v>
      </c>
      <c r="K67" s="38">
        <v>26.28</v>
      </c>
      <c r="L67" s="38">
        <v>24.38</v>
      </c>
      <c r="M67" s="39">
        <f>SUMIFS([1]!Tabla6[SALIDA],[1]!Tabla6[CODIGO],Tabla29[[#This Row],[CODIGO]])</f>
        <v>20</v>
      </c>
      <c r="N67" s="39">
        <f>SUMIFS([1]!Tabla6[ENTRADA],[1]!Tabla6[CODIGO],Tabla29[[#This Row],[CODIGO]])</f>
        <v>0</v>
      </c>
      <c r="O67" s="45">
        <f>Tabla29[[#This Row],[DISP]]-Tabla29[[#This Row],[SALIDA]]+Tabla29[[#This Row],[ENTRADA]]</f>
        <v>65</v>
      </c>
      <c r="P67" s="29">
        <f>IFERROR(VLOOKUP(Tabla29[[#This Row],[CODIGO]],[1]!Tabla6[[CODIGO]:[PRECIO VENTA]],9,0),0)</f>
        <v>0</v>
      </c>
      <c r="Q67" s="29">
        <f>IFERROR(Tabla29[[#This Row],[PRECIO DETAL USD]]*0.8,0)</f>
        <v>21.024000000000001</v>
      </c>
      <c r="R67" s="30">
        <f>IFERROR([1]!Tabla2[[#This Row],[STOCK]]*[1]!Tabla2[[#This Row],[COSTO]],0)</f>
        <v>23833.8</v>
      </c>
    </row>
    <row r="68" spans="1:18" ht="15" hidden="1" customHeight="1" x14ac:dyDescent="0.35">
      <c r="A68" s="42" t="s">
        <v>186</v>
      </c>
      <c r="B68" s="32" t="s">
        <v>174</v>
      </c>
      <c r="C68" s="32" t="s">
        <v>143</v>
      </c>
      <c r="D68" s="33">
        <v>2</v>
      </c>
      <c r="E68" s="33">
        <v>13</v>
      </c>
      <c r="F68" s="34">
        <v>5</v>
      </c>
      <c r="G68" s="35" t="s">
        <v>187</v>
      </c>
      <c r="H68" s="36" t="s">
        <v>188</v>
      </c>
      <c r="I68" s="37">
        <v>11</v>
      </c>
      <c r="J68" s="43" t="s">
        <v>146</v>
      </c>
      <c r="K68" s="38">
        <v>40.44</v>
      </c>
      <c r="L68" s="38">
        <v>31</v>
      </c>
      <c r="M68" s="39">
        <f>SUMIFS([1]!Tabla6[SALIDA],[1]!Tabla6[CODIGO],Tabla29[[#This Row],[CODIGO]])</f>
        <v>19</v>
      </c>
      <c r="N68" s="39">
        <f>SUMIFS([1]!Tabla6[ENTRADA],[1]!Tabla6[CODIGO],Tabla29[[#This Row],[CODIGO]])</f>
        <v>8</v>
      </c>
      <c r="O68" s="45">
        <f>Tabla29[[#This Row],[DISP]]-Tabla29[[#This Row],[SALIDA]]+Tabla29[[#This Row],[ENTRADA]]</f>
        <v>0</v>
      </c>
      <c r="P68" s="29">
        <f>IFERROR(VLOOKUP(Tabla29[[#This Row],[CODIGO]],[1]!Tabla6[[CODIGO]:[PRECIO VENTA]],9,0),0)</f>
        <v>0</v>
      </c>
      <c r="Q68" s="29">
        <f>IFERROR(Tabla29[[#This Row],[PRECIO DETAL USD]]*0.8,0)</f>
        <v>32.351999999999997</v>
      </c>
      <c r="R68" s="30">
        <f>IFERROR([1]!Tabla2[[#This Row],[STOCK]]*[1]!Tabla2[[#This Row],[COSTO]],0)</f>
        <v>9601.2000000000007</v>
      </c>
    </row>
    <row r="69" spans="1:18" ht="15" customHeight="1" x14ac:dyDescent="0.35">
      <c r="A69" s="42" t="s">
        <v>189</v>
      </c>
      <c r="B69" s="32" t="s">
        <v>174</v>
      </c>
      <c r="C69" s="32" t="s">
        <v>143</v>
      </c>
      <c r="D69" s="33">
        <v>2</v>
      </c>
      <c r="E69" s="33">
        <v>13</v>
      </c>
      <c r="F69" s="34">
        <v>6</v>
      </c>
      <c r="G69" s="59" t="s">
        <v>190</v>
      </c>
      <c r="H69" s="60" t="s">
        <v>191</v>
      </c>
      <c r="I69" s="37">
        <v>154</v>
      </c>
      <c r="J69" s="43" t="s">
        <v>146</v>
      </c>
      <c r="K69" s="38">
        <v>23.26</v>
      </c>
      <c r="L69" s="38">
        <v>19.079999999999998</v>
      </c>
      <c r="M69" s="39">
        <f>SUMIFS([1]!Tabla6[SALIDA],[1]!Tabla6[CODIGO],Tabla29[[#This Row],[CODIGO]])</f>
        <v>20</v>
      </c>
      <c r="N69" s="39">
        <f>SUMIFS([1]!Tabla6[ENTRADA],[1]!Tabla6[CODIGO],Tabla29[[#This Row],[CODIGO]])</f>
        <v>0</v>
      </c>
      <c r="O69" s="45">
        <f>Tabla29[[#This Row],[DISP]]-Tabla29[[#This Row],[SALIDA]]+Tabla29[[#This Row],[ENTRADA]]</f>
        <v>134</v>
      </c>
      <c r="P69" s="29">
        <f>IFERROR(VLOOKUP(Tabla29[[#This Row],[CODIGO]],[1]!Tabla6[[CODIGO]:[PRECIO VENTA]],9,0),0)</f>
        <v>0</v>
      </c>
      <c r="Q69" s="29">
        <f>IFERROR(Tabla29[[#This Row],[PRECIO DETAL USD]]*0.8,0)</f>
        <v>18.608000000000001</v>
      </c>
      <c r="R69" s="30">
        <f>IFERROR([1]!Tabla2[[#This Row],[STOCK]]*[1]!Tabla2[[#This Row],[COSTO]],0)</f>
        <v>0</v>
      </c>
    </row>
    <row r="70" spans="1:18" ht="15" customHeight="1" x14ac:dyDescent="0.4">
      <c r="A70" s="41">
        <v>10</v>
      </c>
      <c r="B70" s="20"/>
      <c r="C70" s="21"/>
      <c r="D70" s="22"/>
      <c r="E70" s="22"/>
      <c r="F70" s="22"/>
      <c r="G70" s="23" t="s">
        <v>192</v>
      </c>
      <c r="H70" s="24"/>
      <c r="I70" s="22"/>
      <c r="J70" s="25"/>
      <c r="K70" s="26" t="s">
        <v>20</v>
      </c>
      <c r="L70" s="22"/>
      <c r="M70" s="22"/>
      <c r="N70" s="22"/>
      <c r="O70" s="27" t="s">
        <v>21</v>
      </c>
      <c r="P70" s="28">
        <f>IFERROR(VLOOKUP(Tabla29[[#This Row],[CODIGO]],[1]!Tabla6[[CODIGO]:[PRECIO VENTA]],9,0),0)</f>
        <v>0</v>
      </c>
      <c r="Q70" s="29">
        <f>IFERROR(Tabla29[[#This Row],[PRECIO DETAL USD]]*0.8,0)</f>
        <v>0</v>
      </c>
      <c r="R70" s="30">
        <f>IFERROR([1]!Tabla2[[#This Row],[STOCK]]*[1]!Tabla2[[#This Row],[COSTO]],0)</f>
        <v>3494.4</v>
      </c>
    </row>
    <row r="71" spans="1:18" ht="15" customHeight="1" x14ac:dyDescent="0.35">
      <c r="A71" s="42" t="s">
        <v>193</v>
      </c>
      <c r="B71" s="32" t="s">
        <v>194</v>
      </c>
      <c r="C71" s="32" t="s">
        <v>143</v>
      </c>
      <c r="D71" s="33">
        <v>1</v>
      </c>
      <c r="E71" s="33">
        <v>14</v>
      </c>
      <c r="F71" s="34">
        <v>1</v>
      </c>
      <c r="G71" s="59" t="s">
        <v>195</v>
      </c>
      <c r="H71" s="60" t="s">
        <v>196</v>
      </c>
      <c r="I71" s="37">
        <v>13</v>
      </c>
      <c r="J71" s="43" t="s">
        <v>146</v>
      </c>
      <c r="K71" s="38">
        <v>66.78</v>
      </c>
      <c r="L71" s="38">
        <v>62.54</v>
      </c>
      <c r="M71" s="39">
        <f>SUMIFS([1]!Tabla6[SALIDA],[1]!Tabla6[CODIGO],Tabla29[[#This Row],[CODIGO]])</f>
        <v>3</v>
      </c>
      <c r="N71" s="39">
        <f>SUMIFS([1]!Tabla6[ENTRADA],[1]!Tabla6[CODIGO],Tabla29[[#This Row],[CODIGO]])</f>
        <v>0</v>
      </c>
      <c r="O71" s="45">
        <f>Tabla29[[#This Row],[DISP]]-Tabla29[[#This Row],[SALIDA]]+Tabla29[[#This Row],[ENTRADA]]</f>
        <v>10</v>
      </c>
      <c r="P71" s="29">
        <f>IFERROR(VLOOKUP(Tabla29[[#This Row],[CODIGO]],[1]!Tabla6[[CODIGO]:[PRECIO VENTA]],9,0),0)</f>
        <v>0</v>
      </c>
      <c r="Q71" s="29">
        <f>IFERROR(Tabla29[[#This Row],[PRECIO DETAL USD]]*0.8,0)</f>
        <v>53.424000000000007</v>
      </c>
      <c r="R71" s="30">
        <f>IFERROR([1]!Tabla2[[#This Row],[STOCK]]*[1]!Tabla2[[#This Row],[COSTO]],0)</f>
        <v>192.00000000000003</v>
      </c>
    </row>
    <row r="72" spans="1:18" ht="15" customHeight="1" x14ac:dyDescent="0.35">
      <c r="A72" s="42" t="s">
        <v>197</v>
      </c>
      <c r="B72" s="48"/>
      <c r="C72" s="48"/>
      <c r="D72" s="49"/>
      <c r="E72" s="49"/>
      <c r="F72" s="50"/>
      <c r="G72" s="59" t="s">
        <v>198</v>
      </c>
      <c r="H72" s="60" t="s">
        <v>199</v>
      </c>
      <c r="I72" s="51"/>
      <c r="J72" s="52" t="s">
        <v>146</v>
      </c>
      <c r="K72" s="53">
        <v>102.82</v>
      </c>
      <c r="L72" s="53"/>
      <c r="M72" s="45">
        <f>SUMIFS([1]!Tabla6[SALIDA],[1]!Tabla6[CODIGO],Tabla29[[#This Row],[CODIGO]])</f>
        <v>9</v>
      </c>
      <c r="N72" s="45">
        <f>SUMIFS([1]!Tabla6[ENTRADA],[1]!Tabla6[CODIGO],Tabla29[[#This Row],[CODIGO]])</f>
        <v>50</v>
      </c>
      <c r="O72" s="45">
        <f>Tabla29[[#This Row],[DISP]]-Tabla29[[#This Row],[SALIDA]]+Tabla29[[#This Row],[ENTRADA]]</f>
        <v>41</v>
      </c>
      <c r="P72" s="66">
        <f>IFERROR(VLOOKUP(Tabla29[[#This Row],[CODIGO]],[1]!Tabla6[[CODIGO]:[PRECIO VENTA]],9,0),0)</f>
        <v>0</v>
      </c>
      <c r="Q72" s="67">
        <f>IFERROR(Tabla29[[#This Row],[PRECIO DETAL USD]]*0.8,0)</f>
        <v>82.256</v>
      </c>
      <c r="R72" s="68">
        <f>IFERROR([1]!Tabla2[[#This Row],[STOCK]]*[1]!Tabla2[[#This Row],[COSTO]],0)</f>
        <v>3.6000000000000005</v>
      </c>
    </row>
    <row r="73" spans="1:18" ht="15" customHeight="1" x14ac:dyDescent="0.35">
      <c r="A73" s="42" t="s">
        <v>200</v>
      </c>
      <c r="B73" s="32" t="s">
        <v>194</v>
      </c>
      <c r="C73" s="32" t="s">
        <v>143</v>
      </c>
      <c r="D73" s="33">
        <v>1</v>
      </c>
      <c r="E73" s="33">
        <v>14</v>
      </c>
      <c r="F73" s="34">
        <v>2</v>
      </c>
      <c r="G73" s="59" t="s">
        <v>201</v>
      </c>
      <c r="H73" s="60" t="s">
        <v>202</v>
      </c>
      <c r="I73" s="37">
        <v>5</v>
      </c>
      <c r="J73" s="43" t="s">
        <v>146</v>
      </c>
      <c r="K73" s="38">
        <v>136.74</v>
      </c>
      <c r="L73" s="44"/>
      <c r="M73" s="39">
        <f>SUMIFS([1]!Tabla6[SALIDA],[1]!Tabla6[CODIGO],Tabla29[[#This Row],[CODIGO]])</f>
        <v>0</v>
      </c>
      <c r="N73" s="39">
        <f>SUMIFS([1]!Tabla6[ENTRADA],[1]!Tabla6[CODIGO],Tabla29[[#This Row],[CODIGO]])</f>
        <v>0</v>
      </c>
      <c r="O73" s="45">
        <f>Tabla29[[#This Row],[DISP]]-Tabla29[[#This Row],[SALIDA]]+Tabla29[[#This Row],[ENTRADA]]</f>
        <v>5</v>
      </c>
      <c r="P73" s="29">
        <f>IFERROR(VLOOKUP(Tabla29[[#This Row],[CODIGO]],[1]!Tabla6[[CODIGO]:[PRECIO VENTA]],9,0),0)</f>
        <v>0</v>
      </c>
      <c r="Q73" s="29">
        <f>IFERROR(Tabla29[[#This Row],[PRECIO DETAL USD]]*0.8,0)</f>
        <v>109.39200000000001</v>
      </c>
      <c r="R73" s="30">
        <f>IFERROR([1]!Tabla2[[#This Row],[STOCK]]*[1]!Tabla2[[#This Row],[COSTO]],0)</f>
        <v>63.600000000000009</v>
      </c>
    </row>
    <row r="74" spans="1:18" ht="18.5" x14ac:dyDescent="0.4">
      <c r="A74" s="41">
        <v>11</v>
      </c>
      <c r="B74" s="20"/>
      <c r="C74" s="21"/>
      <c r="D74" s="22"/>
      <c r="E74" s="22"/>
      <c r="F74" s="22"/>
      <c r="G74" s="23" t="s">
        <v>203</v>
      </c>
      <c r="H74" s="24"/>
      <c r="I74" s="22"/>
      <c r="J74" s="25"/>
      <c r="K74" s="26" t="s">
        <v>20</v>
      </c>
      <c r="L74" s="22"/>
      <c r="M74" s="22"/>
      <c r="N74" s="22"/>
      <c r="O74" s="27" t="s">
        <v>21</v>
      </c>
      <c r="P74" s="28">
        <f>IFERROR(VLOOKUP(Tabla29[[#This Row],[CODIGO]],[1]!Tabla6[[CODIGO]:[PRECIO VENTA]],9,0),0)</f>
        <v>0</v>
      </c>
      <c r="Q74" s="29">
        <f>IFERROR(Tabla29[[#This Row],[PRECIO DETAL USD]]*0.8,0)</f>
        <v>0</v>
      </c>
      <c r="R74" s="30">
        <f>IFERROR([1]!Tabla2[[#This Row],[STOCK]]*[1]!Tabla2[[#This Row],[COSTO]],0)</f>
        <v>0</v>
      </c>
    </row>
    <row r="75" spans="1:18" x14ac:dyDescent="0.35">
      <c r="A75" s="42" t="s">
        <v>204</v>
      </c>
      <c r="B75" s="32" t="s">
        <v>205</v>
      </c>
      <c r="C75" s="32" t="s">
        <v>143</v>
      </c>
      <c r="D75" s="33">
        <v>4</v>
      </c>
      <c r="E75" s="33">
        <v>13</v>
      </c>
      <c r="F75" s="34">
        <v>1</v>
      </c>
      <c r="G75" s="59" t="s">
        <v>206</v>
      </c>
      <c r="H75" s="60" t="s">
        <v>207</v>
      </c>
      <c r="I75" s="37">
        <v>20</v>
      </c>
      <c r="J75" s="43" t="s">
        <v>146</v>
      </c>
      <c r="K75" s="38">
        <v>15.84</v>
      </c>
      <c r="L75" s="44"/>
      <c r="M75" s="39">
        <f>SUMIFS([1]!Tabla6[SALIDA],[1]!Tabla6[CODIGO],Tabla29[[#This Row],[CODIGO]])</f>
        <v>45</v>
      </c>
      <c r="N75" s="39">
        <f>SUMIFS([1]!Tabla6[ENTRADA],[1]!Tabla6[CODIGO],Tabla29[[#This Row],[CODIGO]])</f>
        <v>148</v>
      </c>
      <c r="O75" s="45">
        <f>Tabla29[[#This Row],[DISP]]-Tabla29[[#This Row],[SALIDA]]+Tabla29[[#This Row],[ENTRADA]]</f>
        <v>123</v>
      </c>
      <c r="P75" s="29">
        <f>IFERROR(VLOOKUP(Tabla29[[#This Row],[CODIGO]],[1]!Tabla6[[CODIGO]:[PRECIO VENTA]],9,0),0)</f>
        <v>0</v>
      </c>
      <c r="Q75" s="29">
        <f>IFERROR(Tabla29[[#This Row],[PRECIO DETAL USD]]*0.8,0)</f>
        <v>12.672000000000001</v>
      </c>
      <c r="R75" s="30">
        <f>IFERROR([1]!Tabla2[[#This Row],[STOCK]]*[1]!Tabla2[[#This Row],[COSTO]],0)</f>
        <v>3447.9199999999996</v>
      </c>
    </row>
    <row r="76" spans="1:18" hidden="1" x14ac:dyDescent="0.35">
      <c r="A76" s="42" t="s">
        <v>208</v>
      </c>
      <c r="B76" s="32" t="s">
        <v>205</v>
      </c>
      <c r="C76" s="32" t="s">
        <v>143</v>
      </c>
      <c r="D76" s="33">
        <v>4</v>
      </c>
      <c r="E76" s="33">
        <v>13</v>
      </c>
      <c r="F76" s="34">
        <v>1</v>
      </c>
      <c r="G76" s="59" t="s">
        <v>209</v>
      </c>
      <c r="H76" s="60" t="s">
        <v>210</v>
      </c>
      <c r="I76" s="37"/>
      <c r="J76" s="43" t="s">
        <v>146</v>
      </c>
      <c r="K76" s="38">
        <v>16.95</v>
      </c>
      <c r="L76" s="44"/>
      <c r="M76" s="39">
        <f>SUMIFS([1]!Tabla6[SALIDA],[1]!Tabla6[CODIGO],Tabla29[[#This Row],[CODIGO]])</f>
        <v>0</v>
      </c>
      <c r="N76" s="39">
        <f>SUMIFS([1]!Tabla6[ENTRADA],[1]!Tabla6[CODIGO],Tabla29[[#This Row],[CODIGO]])</f>
        <v>0</v>
      </c>
      <c r="O76" s="39">
        <f>Tabla29[[#This Row],[DISP]]-Tabla29[[#This Row],[SALIDA]]+Tabla29[[#This Row],[ENTRADA]]</f>
        <v>0</v>
      </c>
      <c r="P76" s="29">
        <f>IFERROR(VLOOKUP(Tabla29[[#This Row],[CODIGO]],[1]!Tabla6[[CODIGO]:[PRECIO VENTA]],9,0),0)</f>
        <v>0</v>
      </c>
      <c r="Q76" s="29">
        <f>IFERROR(Tabla29[[#This Row],[PRECIO DETAL USD]]*0.8,0)</f>
        <v>13.56</v>
      </c>
      <c r="R76" s="30">
        <f>IFERROR([1]!Tabla2[[#This Row],[STOCK]]*[1]!Tabla2[[#This Row],[COSTO]],0)</f>
        <v>26.68</v>
      </c>
    </row>
    <row r="77" spans="1:18" hidden="1" x14ac:dyDescent="0.35">
      <c r="A77" s="42" t="s">
        <v>211</v>
      </c>
      <c r="B77" s="56"/>
      <c r="C77" s="56"/>
      <c r="D77" s="57"/>
      <c r="E77" s="57"/>
      <c r="F77" s="58"/>
      <c r="G77" s="69" t="s">
        <v>212</v>
      </c>
      <c r="H77" s="60" t="s">
        <v>213</v>
      </c>
      <c r="I77" s="51"/>
      <c r="J77" s="43" t="s">
        <v>146</v>
      </c>
      <c r="K77" s="53">
        <v>18.95</v>
      </c>
      <c r="L77" s="38">
        <v>17</v>
      </c>
      <c r="M77" s="45">
        <f>SUMIFS([1]!Tabla6[SALIDA],[1]!Tabla6[CODIGO],Tabla29[[#This Row],[CODIGO]])</f>
        <v>9</v>
      </c>
      <c r="N77" s="45">
        <f>SUMIFS([1]!Tabla6[ENTRADA],[1]!Tabla6[CODIGO],Tabla29[[#This Row],[CODIGO]])</f>
        <v>9</v>
      </c>
      <c r="O77" s="45">
        <f>Tabla29[[#This Row],[DISP]]-Tabla29[[#This Row],[SALIDA]]+Tabla29[[#This Row],[ENTRADA]]</f>
        <v>0</v>
      </c>
      <c r="P77" s="61">
        <f>IFERROR(VLOOKUP(Tabla29[[#This Row],[CODIGO]],[1]!Tabla6[[CODIGO]:[PRECIO VENTA]],9,0),0)</f>
        <v>18.928571428571431</v>
      </c>
      <c r="Q77" s="29">
        <f>IFERROR(Tabla29[[#This Row],[PRECIO DETAL USD]]*0.8,0)</f>
        <v>15.16</v>
      </c>
      <c r="R77" s="30">
        <f>IFERROR([1]!Tabla2[[#This Row],[STOCK]]*[1]!Tabla2[[#This Row],[COSTO]],0)</f>
        <v>12270.456</v>
      </c>
    </row>
    <row r="78" spans="1:18" x14ac:dyDescent="0.35">
      <c r="A78" s="42" t="s">
        <v>214</v>
      </c>
      <c r="B78" s="56"/>
      <c r="C78" s="56"/>
      <c r="D78" s="57"/>
      <c r="E78" s="57"/>
      <c r="F78" s="58"/>
      <c r="G78" s="59" t="s">
        <v>215</v>
      </c>
      <c r="H78" s="60" t="s">
        <v>216</v>
      </c>
      <c r="I78" s="51"/>
      <c r="J78" s="43" t="s">
        <v>146</v>
      </c>
      <c r="K78" s="53">
        <v>36.94</v>
      </c>
      <c r="L78" s="38">
        <v>33.92</v>
      </c>
      <c r="M78" s="45">
        <f>SUMIFS([1]!Tabla6[SALIDA],[1]!Tabla6[CODIGO],Tabla29[[#This Row],[CODIGO]])</f>
        <v>0</v>
      </c>
      <c r="N78" s="45">
        <f>SUMIFS([1]!Tabla6[ENTRADA],[1]!Tabla6[CODIGO],Tabla29[[#This Row],[CODIGO]])</f>
        <v>1</v>
      </c>
      <c r="O78" s="45">
        <f>Tabla29[[#This Row],[DISP]]-Tabla29[[#This Row],[SALIDA]]+Tabla29[[#This Row],[ENTRADA]]</f>
        <v>1</v>
      </c>
      <c r="P78" s="61">
        <f>IFERROR(VLOOKUP(Tabla29[[#This Row],[CODIGO]],[1]!Tabla6[[CODIGO]:[PRECIO VENTA]],9,0),0)</f>
        <v>34.700000000000003</v>
      </c>
      <c r="Q78" s="29">
        <f>IFERROR(Tabla29[[#This Row],[PRECIO DETAL USD]]*0.8,0)</f>
        <v>29.552</v>
      </c>
      <c r="R78" s="30">
        <f>IFERROR([1]!Tabla2[[#This Row],[STOCK]]*[1]!Tabla2[[#This Row],[COSTO]],0)</f>
        <v>711.36</v>
      </c>
    </row>
    <row r="79" spans="1:18" x14ac:dyDescent="0.35">
      <c r="A79" s="42" t="s">
        <v>217</v>
      </c>
      <c r="B79" s="56"/>
      <c r="C79" s="56"/>
      <c r="D79" s="57"/>
      <c r="E79" s="57"/>
      <c r="F79" s="58"/>
      <c r="G79" s="59" t="s">
        <v>218</v>
      </c>
      <c r="H79" s="60" t="s">
        <v>219</v>
      </c>
      <c r="I79" s="51"/>
      <c r="J79" s="43" t="s">
        <v>146</v>
      </c>
      <c r="K79" s="53">
        <v>49.82</v>
      </c>
      <c r="L79" s="38">
        <v>47.7</v>
      </c>
      <c r="M79" s="45">
        <f>SUMIFS([1]!Tabla6[SALIDA],[1]!Tabla6[CODIGO],Tabla29[[#This Row],[CODIGO]])</f>
        <v>0</v>
      </c>
      <c r="N79" s="45">
        <f>SUMIFS([1]!Tabla6[ENTRADA],[1]!Tabla6[CODIGO],Tabla29[[#This Row],[CODIGO]])</f>
        <v>12</v>
      </c>
      <c r="O79" s="45">
        <f>Tabla29[[#This Row],[DISP]]-Tabla29[[#This Row],[SALIDA]]+Tabla29[[#This Row],[ENTRADA]]</f>
        <v>12</v>
      </c>
      <c r="P79" s="61">
        <f>IFERROR(VLOOKUP(Tabla29[[#This Row],[CODIGO]],[1]!Tabla6[[CODIGO]:[PRECIO VENTA]],9,0),0)</f>
        <v>47.142857142857146</v>
      </c>
      <c r="Q79" s="29">
        <f>IFERROR(Tabla29[[#This Row],[PRECIO DETAL USD]]*0.8,0)</f>
        <v>39.856000000000002</v>
      </c>
      <c r="R79" s="30">
        <f>IFERROR([1]!Tabla2[[#This Row],[STOCK]]*[1]!Tabla2[[#This Row],[COSTO]],0)</f>
        <v>5328</v>
      </c>
    </row>
    <row r="80" spans="1:18" x14ac:dyDescent="0.35">
      <c r="A80" s="42" t="s">
        <v>220</v>
      </c>
      <c r="B80" s="56"/>
      <c r="C80" s="56"/>
      <c r="D80" s="57"/>
      <c r="E80" s="57"/>
      <c r="F80" s="58"/>
      <c r="G80" s="59" t="s">
        <v>221</v>
      </c>
      <c r="H80" s="60" t="s">
        <v>222</v>
      </c>
      <c r="I80" s="51"/>
      <c r="J80" s="43" t="s">
        <v>146</v>
      </c>
      <c r="K80" s="53">
        <v>62.16</v>
      </c>
      <c r="L80" s="38">
        <v>59.36</v>
      </c>
      <c r="M80" s="45">
        <f>SUMIFS([1]!Tabla6[SALIDA],[1]!Tabla6[CODIGO],Tabla29[[#This Row],[CODIGO]])</f>
        <v>0</v>
      </c>
      <c r="N80" s="45">
        <f>SUMIFS([1]!Tabla6[ENTRADA],[1]!Tabla6[CODIGO],Tabla29[[#This Row],[CODIGO]])</f>
        <v>4</v>
      </c>
      <c r="O80" s="45">
        <f>Tabla29[[#This Row],[DISP]]-Tabla29[[#This Row],[SALIDA]]+Tabla29[[#This Row],[ENTRADA]]</f>
        <v>4</v>
      </c>
      <c r="P80" s="61">
        <f>IFERROR(VLOOKUP(Tabla29[[#This Row],[CODIGO]],[1]!Tabla6[[CODIGO]:[PRECIO VENTA]],9,0),0)</f>
        <v>57.142857142857146</v>
      </c>
      <c r="Q80" s="29">
        <f>IFERROR(Tabla29[[#This Row],[PRECIO DETAL USD]]*0.8,0)</f>
        <v>49.728000000000002</v>
      </c>
      <c r="R80" s="30">
        <f>IFERROR([1]!Tabla2[[#This Row],[STOCK]]*[1]!Tabla2[[#This Row],[COSTO]],0)</f>
        <v>1020.8000000000001</v>
      </c>
    </row>
    <row r="81" spans="1:18" hidden="1" x14ac:dyDescent="0.35">
      <c r="A81" s="42" t="s">
        <v>223</v>
      </c>
      <c r="B81" s="32" t="s">
        <v>205</v>
      </c>
      <c r="C81" s="32" t="s">
        <v>143</v>
      </c>
      <c r="D81" s="33">
        <v>4</v>
      </c>
      <c r="E81" s="33">
        <v>13</v>
      </c>
      <c r="F81" s="34">
        <v>2</v>
      </c>
      <c r="G81" s="59" t="s">
        <v>224</v>
      </c>
      <c r="H81" s="60" t="s">
        <v>225</v>
      </c>
      <c r="I81" s="37">
        <v>0</v>
      </c>
      <c r="J81" s="43" t="s">
        <v>146</v>
      </c>
      <c r="K81" s="38">
        <v>23.95</v>
      </c>
      <c r="L81" s="44"/>
      <c r="M81" s="39">
        <f>SUMIFS([1]!Tabla6[SALIDA],[1]!Tabla6[CODIGO],Tabla29[[#This Row],[CODIGO]])</f>
        <v>0</v>
      </c>
      <c r="N81" s="39">
        <f>SUMIFS([1]!Tabla6[ENTRADA],[1]!Tabla6[CODIGO],Tabla29[[#This Row],[CODIGO]])</f>
        <v>0</v>
      </c>
      <c r="O81" s="39">
        <f>Tabla29[[#This Row],[DISP]]-Tabla29[[#This Row],[SALIDA]]+Tabla29[[#This Row],[ENTRADA]]</f>
        <v>0</v>
      </c>
      <c r="P81" s="29">
        <f>IFERROR(VLOOKUP(Tabla29[[#This Row],[CODIGO]],[1]!Tabla6[[CODIGO]:[PRECIO VENTA]],9,0),0)</f>
        <v>0</v>
      </c>
      <c r="Q81" s="29">
        <f>IFERROR(Tabla29[[#This Row],[PRECIO DETAL USD]]*0.8,0)</f>
        <v>19.16</v>
      </c>
      <c r="R81" s="30">
        <f>IFERROR([1]!Tabla2[[#This Row],[STOCK]]*[1]!Tabla2[[#This Row],[COSTO]],0)</f>
        <v>2716.8960000000002</v>
      </c>
    </row>
    <row r="82" spans="1:18" hidden="1" x14ac:dyDescent="0.35">
      <c r="A82" s="42" t="s">
        <v>226</v>
      </c>
      <c r="B82" s="32"/>
      <c r="C82" s="32"/>
      <c r="D82" s="33"/>
      <c r="E82" s="33"/>
      <c r="F82" s="34"/>
      <c r="G82" s="59" t="s">
        <v>227</v>
      </c>
      <c r="H82" s="60" t="s">
        <v>228</v>
      </c>
      <c r="I82" s="37"/>
      <c r="J82" s="43" t="s">
        <v>146</v>
      </c>
      <c r="K82" s="38"/>
      <c r="L82" s="44"/>
      <c r="M82" s="39">
        <f>SUMIFS([1]!Tabla6[SALIDA],[1]!Tabla6[CODIGO],Tabla29[[#This Row],[CODIGO]])</f>
        <v>0</v>
      </c>
      <c r="N82" s="39">
        <f>SUMIFS([1]!Tabla6[ENTRADA],[1]!Tabla6[CODIGO],Tabla29[[#This Row],[CODIGO]])</f>
        <v>0</v>
      </c>
      <c r="O82" s="39">
        <f>Tabla29[[#This Row],[DISP]]-Tabla29[[#This Row],[SALIDA]]+Tabla29[[#This Row],[ENTRADA]]</f>
        <v>0</v>
      </c>
      <c r="P82" s="29">
        <f>IFERROR(VLOOKUP(Tabla29[[#This Row],[CODIGO]],[1]!Tabla6[[CODIGO]:[PRECIO VENTA]],9,0),0)</f>
        <v>0</v>
      </c>
      <c r="Q82" s="29">
        <f>IFERROR(Tabla29[[#This Row],[PRECIO DETAL USD]]*0.8,0)</f>
        <v>0</v>
      </c>
      <c r="R82" s="30">
        <f>IFERROR([1]!Tabla2[[#This Row],[STOCK]]*[1]!Tabla2[[#This Row],[COSTO]],0)</f>
        <v>0</v>
      </c>
    </row>
    <row r="83" spans="1:18" hidden="1" x14ac:dyDescent="0.35">
      <c r="A83" s="42" t="s">
        <v>229</v>
      </c>
      <c r="B83" s="32"/>
      <c r="C83" s="32"/>
      <c r="D83" s="33"/>
      <c r="E83" s="33"/>
      <c r="F83" s="34"/>
      <c r="G83" s="59" t="s">
        <v>230</v>
      </c>
      <c r="H83" s="60" t="s">
        <v>231</v>
      </c>
      <c r="I83" s="37"/>
      <c r="J83" s="43" t="s">
        <v>146</v>
      </c>
      <c r="K83" s="38"/>
      <c r="L83" s="44"/>
      <c r="M83" s="39">
        <f>SUMIFS([1]!Tabla6[SALIDA],[1]!Tabla6[CODIGO],Tabla29[[#This Row],[CODIGO]])</f>
        <v>0</v>
      </c>
      <c r="N83" s="39">
        <f>SUMIFS([1]!Tabla6[ENTRADA],[1]!Tabla6[CODIGO],Tabla29[[#This Row],[CODIGO]])</f>
        <v>0</v>
      </c>
      <c r="O83" s="39">
        <f>Tabla29[[#This Row],[DISP]]-Tabla29[[#This Row],[SALIDA]]+Tabla29[[#This Row],[ENTRADA]]</f>
        <v>0</v>
      </c>
      <c r="P83" s="29">
        <f>IFERROR(VLOOKUP(Tabla29[[#This Row],[CODIGO]],[1]!Tabla6[[CODIGO]:[PRECIO VENTA]],9,0),0)</f>
        <v>0</v>
      </c>
      <c r="Q83" s="29">
        <f>IFERROR(Tabla29[[#This Row],[PRECIO DETAL USD]]*0.8,0)</f>
        <v>0</v>
      </c>
      <c r="R83" s="30">
        <f>IFERROR([1]!Tabla2[[#This Row],[STOCK]]*[1]!Tabla2[[#This Row],[COSTO]],0)</f>
        <v>517.4</v>
      </c>
    </row>
    <row r="84" spans="1:18" hidden="1" x14ac:dyDescent="0.35">
      <c r="A84" s="42" t="s">
        <v>232</v>
      </c>
      <c r="B84" s="32"/>
      <c r="C84" s="32"/>
      <c r="D84" s="33"/>
      <c r="E84" s="33"/>
      <c r="F84" s="34"/>
      <c r="G84" s="59" t="s">
        <v>233</v>
      </c>
      <c r="H84" s="60" t="s">
        <v>234</v>
      </c>
      <c r="I84" s="37"/>
      <c r="J84" s="43" t="s">
        <v>146</v>
      </c>
      <c r="K84" s="38"/>
      <c r="L84" s="44"/>
      <c r="M84" s="39">
        <f>SUMIFS([1]!Tabla6[SALIDA],[1]!Tabla6[CODIGO],Tabla29[[#This Row],[CODIGO]])</f>
        <v>0</v>
      </c>
      <c r="N84" s="39">
        <f>SUMIFS([1]!Tabla6[ENTRADA],[1]!Tabla6[CODIGO],Tabla29[[#This Row],[CODIGO]])</f>
        <v>0</v>
      </c>
      <c r="O84" s="39">
        <f>Tabla29[[#This Row],[DISP]]-Tabla29[[#This Row],[SALIDA]]+Tabla29[[#This Row],[ENTRADA]]</f>
        <v>0</v>
      </c>
      <c r="P84" s="29">
        <f>IFERROR(VLOOKUP(Tabla29[[#This Row],[CODIGO]],[1]!Tabla6[[CODIGO]:[PRECIO VENTA]],9,0),0)</f>
        <v>0</v>
      </c>
      <c r="Q84" s="29">
        <f>IFERROR(Tabla29[[#This Row],[PRECIO DETAL USD]]*0.8,0)</f>
        <v>0</v>
      </c>
      <c r="R84" s="30">
        <f>IFERROR([1]!Tabla2[[#This Row],[STOCK]]*[1]!Tabla2[[#This Row],[COSTO]],0)</f>
        <v>1733.3200000000002</v>
      </c>
    </row>
    <row r="85" spans="1:18" ht="15" customHeight="1" x14ac:dyDescent="0.4">
      <c r="A85" s="41">
        <v>12</v>
      </c>
      <c r="B85" s="20"/>
      <c r="C85" s="21"/>
      <c r="D85" s="22"/>
      <c r="E85" s="22"/>
      <c r="F85" s="22"/>
      <c r="G85" s="23" t="s">
        <v>235</v>
      </c>
      <c r="H85" s="24"/>
      <c r="I85" s="22"/>
      <c r="J85" s="25"/>
      <c r="K85" s="26" t="s">
        <v>20</v>
      </c>
      <c r="L85" s="22"/>
      <c r="M85" s="22"/>
      <c r="N85" s="22"/>
      <c r="O85" s="27" t="s">
        <v>21</v>
      </c>
      <c r="P85" s="28">
        <f>IFERROR(VLOOKUP(Tabla29[[#This Row],[CODIGO]],[1]!Tabla6[[CODIGO]:[PRECIO VENTA]],9,0),0)</f>
        <v>0</v>
      </c>
      <c r="Q85" s="29">
        <f>IFERROR(Tabla29[[#This Row],[PRECIO DETAL USD]]*0.8,0)</f>
        <v>0</v>
      </c>
      <c r="R85" s="30">
        <f>IFERROR([1]!Tabla2[[#This Row],[STOCK]]*[1]!Tabla2[[#This Row],[COSTO]],0)</f>
        <v>403.2000000000001</v>
      </c>
    </row>
    <row r="86" spans="1:18" ht="15" customHeight="1" x14ac:dyDescent="0.35">
      <c r="A86" s="42" t="s">
        <v>236</v>
      </c>
      <c r="B86" s="32" t="s">
        <v>237</v>
      </c>
      <c r="C86" s="32" t="s">
        <v>143</v>
      </c>
      <c r="D86" s="33">
        <v>12</v>
      </c>
      <c r="E86" s="33">
        <v>55</v>
      </c>
      <c r="F86" s="34">
        <v>1</v>
      </c>
      <c r="G86" s="35" t="s">
        <v>238</v>
      </c>
      <c r="H86" s="36" t="s">
        <v>239</v>
      </c>
      <c r="I86" s="37">
        <v>7</v>
      </c>
      <c r="J86" s="43" t="s">
        <v>146</v>
      </c>
      <c r="K86" s="38">
        <v>90</v>
      </c>
      <c r="L86" s="44"/>
      <c r="M86" s="39">
        <f>SUMIFS([1]!Tabla6[SALIDA],[1]!Tabla6[CODIGO],Tabla29[[#This Row],[CODIGO]])</f>
        <v>0</v>
      </c>
      <c r="N86" s="39">
        <f>SUMIFS([1]!Tabla6[ENTRADA],[1]!Tabla6[CODIGO],Tabla29[[#This Row],[CODIGO]])</f>
        <v>0</v>
      </c>
      <c r="O86" s="45">
        <f>Tabla29[[#This Row],[DISP]]-Tabla29[[#This Row],[SALIDA]]+Tabla29[[#This Row],[ENTRADA]]</f>
        <v>7</v>
      </c>
      <c r="P86" s="29">
        <f>IFERROR(VLOOKUP(Tabla29[[#This Row],[CODIGO]],[1]!Tabla6[[CODIGO]:[PRECIO VENTA]],9,0),0)</f>
        <v>0</v>
      </c>
      <c r="Q86" s="29">
        <f>IFERROR(Tabla29[[#This Row],[PRECIO DETAL USD]]*0.8,0)</f>
        <v>72</v>
      </c>
      <c r="R86" s="30">
        <f>IFERROR([1]!Tabla2[[#This Row],[STOCK]]*[1]!Tabla2[[#This Row],[COSTO]],0)</f>
        <v>447.84000000000003</v>
      </c>
    </row>
    <row r="87" spans="1:18" ht="15" customHeight="1" x14ac:dyDescent="0.35">
      <c r="A87" s="42" t="s">
        <v>240</v>
      </c>
      <c r="B87" s="32" t="s">
        <v>237</v>
      </c>
      <c r="C87" s="32" t="s">
        <v>143</v>
      </c>
      <c r="D87" s="33">
        <v>12</v>
      </c>
      <c r="E87" s="33">
        <v>55</v>
      </c>
      <c r="F87" s="34">
        <v>2</v>
      </c>
      <c r="G87" s="35" t="s">
        <v>241</v>
      </c>
      <c r="H87" s="36" t="s">
        <v>242</v>
      </c>
      <c r="I87" s="37">
        <v>1</v>
      </c>
      <c r="J87" s="43" t="s">
        <v>146</v>
      </c>
      <c r="K87" s="38">
        <v>90</v>
      </c>
      <c r="L87" s="44"/>
      <c r="M87" s="39">
        <f>SUMIFS([1]!Tabla6[SALIDA],[1]!Tabla6[CODIGO],Tabla29[[#This Row],[CODIGO]])</f>
        <v>0</v>
      </c>
      <c r="N87" s="39">
        <f>SUMIFS([1]!Tabla6[ENTRADA],[1]!Tabla6[CODIGO],Tabla29[[#This Row],[CODIGO]])</f>
        <v>0</v>
      </c>
      <c r="O87" s="45">
        <f>Tabla29[[#This Row],[DISP]]-Tabla29[[#This Row],[SALIDA]]+Tabla29[[#This Row],[ENTRADA]]</f>
        <v>1</v>
      </c>
      <c r="P87" s="29">
        <f>IFERROR(VLOOKUP(Tabla29[[#This Row],[CODIGO]],[1]!Tabla6[[CODIGO]:[PRECIO VENTA]],9,0),0)</f>
        <v>0</v>
      </c>
      <c r="Q87" s="29">
        <f>IFERROR(Tabla29[[#This Row],[PRECIO DETAL USD]]*0.8,0)</f>
        <v>72</v>
      </c>
      <c r="R87" s="30">
        <f>IFERROR([1]!Tabla2[[#This Row],[STOCK]]*[1]!Tabla2[[#This Row],[COSTO]],0)</f>
        <v>0</v>
      </c>
    </row>
    <row r="88" spans="1:18" ht="15" customHeight="1" x14ac:dyDescent="0.35">
      <c r="A88" s="42" t="s">
        <v>243</v>
      </c>
      <c r="B88" s="32" t="s">
        <v>237</v>
      </c>
      <c r="C88" s="32" t="s">
        <v>143</v>
      </c>
      <c r="D88" s="33">
        <v>12</v>
      </c>
      <c r="E88" s="33">
        <v>55</v>
      </c>
      <c r="F88" s="34">
        <v>3</v>
      </c>
      <c r="G88" s="35" t="s">
        <v>244</v>
      </c>
      <c r="H88" s="36" t="s">
        <v>245</v>
      </c>
      <c r="I88" s="37">
        <v>29</v>
      </c>
      <c r="J88" s="43" t="s">
        <v>146</v>
      </c>
      <c r="K88" s="38">
        <v>198</v>
      </c>
      <c r="L88" s="44"/>
      <c r="M88" s="39">
        <f>SUMIFS([1]!Tabla6[SALIDA],[1]!Tabla6[CODIGO],Tabla29[[#This Row],[CODIGO]])</f>
        <v>0</v>
      </c>
      <c r="N88" s="39">
        <f>SUMIFS([1]!Tabla6[ENTRADA],[1]!Tabla6[CODIGO],Tabla29[[#This Row],[CODIGO]])</f>
        <v>0</v>
      </c>
      <c r="O88" s="45">
        <f>Tabla29[[#This Row],[DISP]]-Tabla29[[#This Row],[SALIDA]]+Tabla29[[#This Row],[ENTRADA]]</f>
        <v>29</v>
      </c>
      <c r="P88" s="29">
        <f>IFERROR(VLOOKUP(Tabla29[[#This Row],[CODIGO]],[1]!Tabla6[[CODIGO]:[PRECIO VENTA]],9,0),0)</f>
        <v>0</v>
      </c>
      <c r="Q88" s="29">
        <f>IFERROR(Tabla29[[#This Row],[PRECIO DETAL USD]]*0.8,0)</f>
        <v>158.4</v>
      </c>
      <c r="R88" s="30">
        <f>IFERROR([1]!Tabla2[[#This Row],[STOCK]]*[1]!Tabla2[[#This Row],[COSTO]],0)</f>
        <v>176.8</v>
      </c>
    </row>
    <row r="89" spans="1:18" ht="15" customHeight="1" x14ac:dyDescent="0.35">
      <c r="A89" s="42" t="s">
        <v>246</v>
      </c>
      <c r="B89" s="32" t="s">
        <v>237</v>
      </c>
      <c r="C89" s="32" t="s">
        <v>143</v>
      </c>
      <c r="D89" s="33">
        <v>12</v>
      </c>
      <c r="E89" s="33">
        <v>55</v>
      </c>
      <c r="F89" s="34">
        <v>4</v>
      </c>
      <c r="G89" s="35" t="s">
        <v>247</v>
      </c>
      <c r="H89" s="36" t="s">
        <v>248</v>
      </c>
      <c r="I89" s="37">
        <v>1</v>
      </c>
      <c r="J89" s="43" t="s">
        <v>146</v>
      </c>
      <c r="K89" s="38">
        <v>100</v>
      </c>
      <c r="L89" s="44"/>
      <c r="M89" s="39">
        <f>SUMIFS([1]!Tabla6[SALIDA],[1]!Tabla6[CODIGO],Tabla29[[#This Row],[CODIGO]])</f>
        <v>0</v>
      </c>
      <c r="N89" s="39">
        <f>SUMIFS([1]!Tabla6[ENTRADA],[1]!Tabla6[CODIGO],Tabla29[[#This Row],[CODIGO]])</f>
        <v>0</v>
      </c>
      <c r="O89" s="45">
        <f>Tabla29[[#This Row],[DISP]]-Tabla29[[#This Row],[SALIDA]]+Tabla29[[#This Row],[ENTRADA]]</f>
        <v>1</v>
      </c>
      <c r="P89" s="29">
        <f>IFERROR(VLOOKUP(Tabla29[[#This Row],[CODIGO]],[1]!Tabla6[[CODIGO]:[PRECIO VENTA]],9,0),0)</f>
        <v>0</v>
      </c>
      <c r="Q89" s="29">
        <f>IFERROR(Tabla29[[#This Row],[PRECIO DETAL USD]]*0.8,0)</f>
        <v>80</v>
      </c>
      <c r="R89" s="30">
        <f>IFERROR([1]!Tabla2[[#This Row],[STOCK]]*[1]!Tabla2[[#This Row],[COSTO]],0)</f>
        <v>17.400000000000002</v>
      </c>
    </row>
    <row r="90" spans="1:18" ht="15" customHeight="1" x14ac:dyDescent="0.35">
      <c r="A90" s="42" t="s">
        <v>249</v>
      </c>
      <c r="B90" s="32" t="s">
        <v>237</v>
      </c>
      <c r="C90" s="32" t="s">
        <v>143</v>
      </c>
      <c r="D90" s="33">
        <v>12</v>
      </c>
      <c r="E90" s="33">
        <v>55</v>
      </c>
      <c r="F90" s="34">
        <v>5</v>
      </c>
      <c r="G90" s="35" t="s">
        <v>250</v>
      </c>
      <c r="H90" s="36" t="s">
        <v>251</v>
      </c>
      <c r="I90" s="37">
        <v>1</v>
      </c>
      <c r="J90" s="43" t="s">
        <v>146</v>
      </c>
      <c r="K90" s="38">
        <v>150</v>
      </c>
      <c r="L90" s="44"/>
      <c r="M90" s="39">
        <f>SUMIFS([1]!Tabla6[SALIDA],[1]!Tabla6[CODIGO],Tabla29[[#This Row],[CODIGO]])</f>
        <v>0</v>
      </c>
      <c r="N90" s="39">
        <f>SUMIFS([1]!Tabla6[ENTRADA],[1]!Tabla6[CODIGO],Tabla29[[#This Row],[CODIGO]])</f>
        <v>0</v>
      </c>
      <c r="O90" s="45">
        <f>Tabla29[[#This Row],[DISP]]-Tabla29[[#This Row],[SALIDA]]+Tabla29[[#This Row],[ENTRADA]]</f>
        <v>1</v>
      </c>
      <c r="P90" s="29">
        <f>IFERROR(VLOOKUP(Tabla29[[#This Row],[CODIGO]],[1]!Tabla6[[CODIGO]:[PRECIO VENTA]],9,0),0)</f>
        <v>0</v>
      </c>
      <c r="Q90" s="29">
        <f>IFERROR(Tabla29[[#This Row],[PRECIO DETAL USD]]*0.8,0)</f>
        <v>120</v>
      </c>
      <c r="R90" s="30">
        <f>IFERROR([1]!Tabla2[[#This Row],[STOCK]]*[1]!Tabla2[[#This Row],[COSTO]],0)</f>
        <v>20.400000000000002</v>
      </c>
    </row>
    <row r="91" spans="1:18" ht="15" customHeight="1" x14ac:dyDescent="0.35">
      <c r="A91" s="42" t="s">
        <v>252</v>
      </c>
      <c r="B91" s="32" t="s">
        <v>237</v>
      </c>
      <c r="C91" s="32" t="s">
        <v>143</v>
      </c>
      <c r="D91" s="33">
        <v>12</v>
      </c>
      <c r="E91" s="33">
        <v>55</v>
      </c>
      <c r="F91" s="34">
        <v>6</v>
      </c>
      <c r="G91" s="35" t="s">
        <v>253</v>
      </c>
      <c r="H91" s="36" t="s">
        <v>254</v>
      </c>
      <c r="I91" s="37">
        <v>7</v>
      </c>
      <c r="J91" s="43" t="s">
        <v>146</v>
      </c>
      <c r="K91" s="38">
        <v>150</v>
      </c>
      <c r="L91" s="44"/>
      <c r="M91" s="39">
        <f>SUMIFS([1]!Tabla6[SALIDA],[1]!Tabla6[CODIGO],Tabla29[[#This Row],[CODIGO]])</f>
        <v>0</v>
      </c>
      <c r="N91" s="39">
        <f>SUMIFS([1]!Tabla6[ENTRADA],[1]!Tabla6[CODIGO],Tabla29[[#This Row],[CODIGO]])</f>
        <v>0</v>
      </c>
      <c r="O91" s="45">
        <f>Tabla29[[#This Row],[DISP]]-Tabla29[[#This Row],[SALIDA]]+Tabla29[[#This Row],[ENTRADA]]</f>
        <v>7</v>
      </c>
      <c r="P91" s="29">
        <f>IFERROR(VLOOKUP(Tabla29[[#This Row],[CODIGO]],[1]!Tabla6[[CODIGO]:[PRECIO VENTA]],9,0),0)</f>
        <v>0</v>
      </c>
      <c r="Q91" s="29">
        <f>IFERROR(Tabla29[[#This Row],[PRECIO DETAL USD]]*0.8,0)</f>
        <v>120</v>
      </c>
      <c r="R91" s="30">
        <f>IFERROR([1]!Tabla2[[#This Row],[STOCK]]*[1]!Tabla2[[#This Row],[COSTO]],0)</f>
        <v>0</v>
      </c>
    </row>
    <row r="92" spans="1:18" x14ac:dyDescent="0.35">
      <c r="A92" s="42" t="s">
        <v>255</v>
      </c>
      <c r="B92" s="48"/>
      <c r="C92" s="48"/>
      <c r="D92" s="49"/>
      <c r="E92" s="49"/>
      <c r="F92" s="50"/>
      <c r="G92" s="35" t="s">
        <v>256</v>
      </c>
      <c r="H92" s="36" t="s">
        <v>257</v>
      </c>
      <c r="I92" s="51"/>
      <c r="J92" s="52" t="s">
        <v>146</v>
      </c>
      <c r="K92" s="53">
        <v>62</v>
      </c>
      <c r="L92" s="65"/>
      <c r="M92" s="45">
        <f>SUMIFS([1]!Tabla6[SALIDA],[1]!Tabla6[CODIGO],Tabla29[[#This Row],[CODIGO]])</f>
        <v>207</v>
      </c>
      <c r="N92" s="45">
        <f>SUMIFS([1]!Tabla6[ENTRADA],[1]!Tabla6[CODIGO],Tabla29[[#This Row],[CODIGO]])</f>
        <v>375</v>
      </c>
      <c r="O92" s="45">
        <f>Tabla29[[#This Row],[DISP]]-Tabla29[[#This Row],[SALIDA]]+Tabla29[[#This Row],[ENTRADA]]</f>
        <v>168</v>
      </c>
      <c r="P92" s="66">
        <f>IFERROR(VLOOKUP(Tabla29[[#This Row],[CODIGO]],[1]!Tabla6[[CODIGO]:[PRECIO VENTA]],9,0),0)</f>
        <v>59.036144578313255</v>
      </c>
      <c r="Q92" s="67">
        <f>IFERROR(Tabla29[[#This Row],[PRECIO DETAL USD]]*0.8,0)</f>
        <v>49.6</v>
      </c>
      <c r="R92" s="70">
        <f>IFERROR([1]!Tabla2[[#This Row],[STOCK]]*[1]!Tabla2[[#This Row],[COSTO]],0)</f>
        <v>44.8</v>
      </c>
    </row>
    <row r="93" spans="1:18" x14ac:dyDescent="0.35">
      <c r="A93" s="42" t="s">
        <v>258</v>
      </c>
      <c r="B93" s="32" t="s">
        <v>259</v>
      </c>
      <c r="C93" s="32" t="s">
        <v>143</v>
      </c>
      <c r="D93" s="33">
        <v>19</v>
      </c>
      <c r="E93" s="33">
        <v>15</v>
      </c>
      <c r="F93" s="34">
        <v>1</v>
      </c>
      <c r="G93" s="35" t="s">
        <v>260</v>
      </c>
      <c r="H93" s="36" t="s">
        <v>261</v>
      </c>
      <c r="I93" s="37">
        <v>42</v>
      </c>
      <c r="J93" s="43" t="s">
        <v>146</v>
      </c>
      <c r="K93" s="38">
        <v>49.5</v>
      </c>
      <c r="L93" s="44"/>
      <c r="M93" s="39">
        <f>SUMIFS([1]!Tabla6[SALIDA],[1]!Tabla6[CODIGO],Tabla29[[#This Row],[CODIGO]])</f>
        <v>270</v>
      </c>
      <c r="N93" s="39">
        <f>SUMIFS([1]!Tabla6[ENTRADA],[1]!Tabla6[CODIGO],Tabla29[[#This Row],[CODIGO]])</f>
        <v>228</v>
      </c>
      <c r="O93" s="45">
        <f>Tabla29[[#This Row],[DISP]]-Tabla29[[#This Row],[SALIDA]]+Tabla29[[#This Row],[ENTRADA]]</f>
        <v>0</v>
      </c>
      <c r="P93" s="29">
        <f>IFERROR(VLOOKUP(Tabla29[[#This Row],[CODIGO]],[1]!Tabla6[[CODIGO]:[PRECIO VENTA]],9,0),0)</f>
        <v>52.739726027397261</v>
      </c>
      <c r="Q93" s="29">
        <f>IFERROR(Tabla29[[#This Row],[PRECIO DETAL USD]]*0.8,0)</f>
        <v>39.6</v>
      </c>
      <c r="R93" s="30">
        <f>IFERROR([1]!Tabla2[[#This Row],[STOCK]]*[1]!Tabla2[[#This Row],[COSTO]],0)</f>
        <v>1519.2000000000003</v>
      </c>
    </row>
    <row r="94" spans="1:18" ht="15" customHeight="1" x14ac:dyDescent="0.35">
      <c r="A94" s="42" t="s">
        <v>262</v>
      </c>
      <c r="B94" s="32" t="s">
        <v>259</v>
      </c>
      <c r="C94" s="32" t="s">
        <v>143</v>
      </c>
      <c r="D94" s="33">
        <v>19</v>
      </c>
      <c r="E94" s="33">
        <v>15</v>
      </c>
      <c r="F94" s="34">
        <v>3</v>
      </c>
      <c r="G94" s="35" t="s">
        <v>263</v>
      </c>
      <c r="H94" s="36" t="s">
        <v>264</v>
      </c>
      <c r="I94" s="37">
        <v>52</v>
      </c>
      <c r="J94" s="43" t="s">
        <v>146</v>
      </c>
      <c r="K94" s="38">
        <v>43.2</v>
      </c>
      <c r="L94" s="44"/>
      <c r="M94" s="39">
        <f>SUMIFS([1]!Tabla6[SALIDA],[1]!Tabla6[CODIGO],Tabla29[[#This Row],[CODIGO]])</f>
        <v>0</v>
      </c>
      <c r="N94" s="39">
        <f>SUMIFS([1]!Tabla6[ENTRADA],[1]!Tabla6[CODIGO],Tabla29[[#This Row],[CODIGO]])</f>
        <v>0</v>
      </c>
      <c r="O94" s="45">
        <f>Tabla29[[#This Row],[DISP]]-Tabla29[[#This Row],[SALIDA]]+Tabla29[[#This Row],[ENTRADA]]</f>
        <v>52</v>
      </c>
      <c r="P94" s="29">
        <f>IFERROR(VLOOKUP(Tabla29[[#This Row],[CODIGO]],[1]!Tabla6[[CODIGO]:[PRECIO VENTA]],9,0),0)</f>
        <v>0</v>
      </c>
      <c r="Q94" s="29">
        <f>IFERROR(Tabla29[[#This Row],[PRECIO DETAL USD]]*0.8,0)</f>
        <v>34.56</v>
      </c>
      <c r="R94" s="30">
        <f>IFERROR([1]!Tabla2[[#This Row],[STOCK]]*[1]!Tabla2[[#This Row],[COSTO]],0)</f>
        <v>0</v>
      </c>
    </row>
    <row r="95" spans="1:18" ht="15" customHeight="1" x14ac:dyDescent="0.35">
      <c r="A95" s="42" t="s">
        <v>265</v>
      </c>
      <c r="B95" s="32"/>
      <c r="C95" s="32"/>
      <c r="D95" s="33">
        <v>19</v>
      </c>
      <c r="E95" s="33">
        <v>15</v>
      </c>
      <c r="F95" s="34">
        <v>4</v>
      </c>
      <c r="G95" s="35" t="s">
        <v>266</v>
      </c>
      <c r="H95" s="36" t="s">
        <v>267</v>
      </c>
      <c r="I95" s="37">
        <v>64</v>
      </c>
      <c r="J95" s="43" t="s">
        <v>146</v>
      </c>
      <c r="K95" s="38">
        <v>44.95</v>
      </c>
      <c r="L95" s="44"/>
      <c r="M95" s="39">
        <f>SUMIFS([1]!Tabla6[SALIDA],[1]!Tabla6[CODIGO],Tabla29[[#This Row],[CODIGO]])</f>
        <v>27</v>
      </c>
      <c r="N95" s="39">
        <f>SUMIFS([1]!Tabla6[ENTRADA],[1]!Tabla6[CODIGO],Tabla29[[#This Row],[CODIGO]])</f>
        <v>0</v>
      </c>
      <c r="O95" s="45">
        <f>Tabla29[[#This Row],[DISP]]-Tabla29[[#This Row],[SALIDA]]+Tabla29[[#This Row],[ENTRADA]]</f>
        <v>37</v>
      </c>
      <c r="P95" s="29">
        <f>IFERROR(VLOOKUP(Tabla29[[#This Row],[CODIGO]],[1]!Tabla6[[CODIGO]:[PRECIO VENTA]],9,0),0)</f>
        <v>0</v>
      </c>
      <c r="Q95" s="29">
        <f>IFERROR(Tabla29[[#This Row],[PRECIO DETAL USD]]*0.8,0)</f>
        <v>35.96</v>
      </c>
      <c r="R95" s="30">
        <f>IFERROR([1]!Tabla2[[#This Row],[STOCK]]*[1]!Tabla2[[#This Row],[COSTO]],0)</f>
        <v>1978.0800000000002</v>
      </c>
    </row>
    <row r="96" spans="1:18" ht="15" customHeight="1" x14ac:dyDescent="0.35">
      <c r="A96" s="42" t="s">
        <v>268</v>
      </c>
      <c r="B96" s="32" t="s">
        <v>259</v>
      </c>
      <c r="C96" s="32" t="s">
        <v>143</v>
      </c>
      <c r="D96" s="33">
        <v>19</v>
      </c>
      <c r="E96" s="33">
        <v>15</v>
      </c>
      <c r="F96" s="34">
        <v>2</v>
      </c>
      <c r="G96" s="35" t="s">
        <v>269</v>
      </c>
      <c r="H96" s="36" t="s">
        <v>270</v>
      </c>
      <c r="I96" s="37">
        <v>106</v>
      </c>
      <c r="J96" s="43" t="s">
        <v>146</v>
      </c>
      <c r="K96" s="38">
        <v>46.95</v>
      </c>
      <c r="L96" s="44"/>
      <c r="M96" s="39">
        <f>SUMIFS([1]!Tabla6[SALIDA],[1]!Tabla6[CODIGO],Tabla29[[#This Row],[CODIGO]])</f>
        <v>22</v>
      </c>
      <c r="N96" s="39">
        <f>SUMIFS([1]!Tabla6[ENTRADA],[1]!Tabla6[CODIGO],Tabla29[[#This Row],[CODIGO]])</f>
        <v>0</v>
      </c>
      <c r="O96" s="45">
        <f>Tabla29[[#This Row],[DISP]]-Tabla29[[#This Row],[SALIDA]]+Tabla29[[#This Row],[ENTRADA]]</f>
        <v>84</v>
      </c>
      <c r="P96" s="29">
        <f>IFERROR(VLOOKUP(Tabla29[[#This Row],[CODIGO]],[1]!Tabla6[[CODIGO]:[PRECIO VENTA]],9,0),0)</f>
        <v>0</v>
      </c>
      <c r="Q96" s="29">
        <f>IFERROR(Tabla29[[#This Row],[PRECIO DETAL USD]]*0.8,0)</f>
        <v>37.56</v>
      </c>
      <c r="R96" s="30">
        <f>IFERROR([1]!Tabla2[[#This Row],[STOCK]]*[1]!Tabla2[[#This Row],[COSTO]],0)</f>
        <v>-11.6</v>
      </c>
    </row>
    <row r="97" spans="1:18" ht="15" customHeight="1" x14ac:dyDescent="0.35">
      <c r="A97" s="42" t="s">
        <v>271</v>
      </c>
      <c r="B97" s="32"/>
      <c r="C97" s="32"/>
      <c r="D97" s="33">
        <v>19</v>
      </c>
      <c r="E97" s="33">
        <v>15</v>
      </c>
      <c r="F97" s="34">
        <v>5</v>
      </c>
      <c r="G97" s="35" t="s">
        <v>272</v>
      </c>
      <c r="H97" s="36" t="s">
        <v>273</v>
      </c>
      <c r="I97" s="37">
        <v>20</v>
      </c>
      <c r="J97" s="43" t="s">
        <v>146</v>
      </c>
      <c r="K97" s="38">
        <v>40.799999999999997</v>
      </c>
      <c r="L97" s="44"/>
      <c r="M97" s="39">
        <f>SUMIFS([1]!Tabla6[SALIDA],[1]!Tabla6[CODIGO],Tabla29[[#This Row],[CODIGO]])</f>
        <v>14</v>
      </c>
      <c r="N97" s="39">
        <f>SUMIFS([1]!Tabla6[ENTRADA],[1]!Tabla6[CODIGO],Tabla29[[#This Row],[CODIGO]])</f>
        <v>0</v>
      </c>
      <c r="O97" s="45">
        <f>Tabla29[[#This Row],[DISP]]-Tabla29[[#This Row],[SALIDA]]+Tabla29[[#This Row],[ENTRADA]]</f>
        <v>6</v>
      </c>
      <c r="P97" s="29">
        <f>IFERROR(VLOOKUP(Tabla29[[#This Row],[CODIGO]],[1]!Tabla6[[CODIGO]:[PRECIO VENTA]],9,0),0)</f>
        <v>0</v>
      </c>
      <c r="Q97" s="29">
        <f>IFERROR(Tabla29[[#This Row],[PRECIO DETAL USD]]*0.8,0)</f>
        <v>32.64</v>
      </c>
      <c r="R97" s="30">
        <f>IFERROR([1]!Tabla2[[#This Row],[STOCK]]*[1]!Tabla2[[#This Row],[COSTO]],0)</f>
        <v>0</v>
      </c>
    </row>
    <row r="98" spans="1:18" ht="15" customHeight="1" x14ac:dyDescent="0.35">
      <c r="A98" s="42" t="s">
        <v>274</v>
      </c>
      <c r="B98" s="32"/>
      <c r="C98" s="32" t="s">
        <v>143</v>
      </c>
      <c r="D98" s="33">
        <v>4</v>
      </c>
      <c r="E98" s="33">
        <v>13</v>
      </c>
      <c r="F98" s="34">
        <v>3</v>
      </c>
      <c r="G98" s="35" t="s">
        <v>275</v>
      </c>
      <c r="H98" s="36" t="s">
        <v>276</v>
      </c>
      <c r="I98" s="37"/>
      <c r="J98" s="37" t="s">
        <v>43</v>
      </c>
      <c r="K98" s="38">
        <v>6.5</v>
      </c>
      <c r="L98" s="44"/>
      <c r="M98" s="39">
        <f>SUMIFS([1]!Tabla6[SALIDA],[1]!Tabla6[CODIGO],Tabla29[[#This Row],[CODIGO]])</f>
        <v>1611.96</v>
      </c>
      <c r="N98" s="39">
        <f>SUMIFS([1]!Tabla6[ENTRADA],[1]!Tabla6[CODIGO],Tabla29[[#This Row],[CODIGO]])</f>
        <v>2092</v>
      </c>
      <c r="O98" s="45">
        <f>Tabla29[[#This Row],[DISP]]-Tabla29[[#This Row],[SALIDA]]+Tabla29[[#This Row],[ENTRADA]]</f>
        <v>480.03999999999996</v>
      </c>
      <c r="P98" s="29">
        <f>IFERROR(VLOOKUP(Tabla29[[#This Row],[CODIGO]],[1]!Tabla6[[CODIGO]:[PRECIO VENTA]],9,0),0)</f>
        <v>1.6909090909090909</v>
      </c>
      <c r="Q98" s="29">
        <f>IFERROR(Tabla29[[#This Row],[PRECIO DETAL USD]]*0.8,0)</f>
        <v>5.2</v>
      </c>
      <c r="R98" s="30">
        <f>IFERROR([1]!Tabla2[[#This Row],[STOCK]]*[1]!Tabla2[[#This Row],[COSTO]],0)</f>
        <v>43.775999999999996</v>
      </c>
    </row>
    <row r="99" spans="1:18" ht="15" customHeight="1" x14ac:dyDescent="0.35">
      <c r="A99" s="42" t="s">
        <v>277</v>
      </c>
      <c r="B99" s="32" t="s">
        <v>278</v>
      </c>
      <c r="C99" s="32" t="s">
        <v>143</v>
      </c>
      <c r="D99" s="33">
        <v>19</v>
      </c>
      <c r="E99" s="33">
        <v>16</v>
      </c>
      <c r="F99" s="34">
        <v>1</v>
      </c>
      <c r="G99" s="35" t="s">
        <v>279</v>
      </c>
      <c r="H99" s="36" t="s">
        <v>280</v>
      </c>
      <c r="I99" s="37">
        <v>97</v>
      </c>
      <c r="J99" s="43" t="s">
        <v>146</v>
      </c>
      <c r="K99" s="38">
        <v>7.16</v>
      </c>
      <c r="L99" s="44"/>
      <c r="M99" s="39">
        <f>SUMIFS([1]!Tabla6[SALIDA],[1]!Tabla6[CODIGO],Tabla29[[#This Row],[CODIGO]])</f>
        <v>95</v>
      </c>
      <c r="N99" s="39">
        <f>SUMIFS([1]!Tabla6[ENTRADA],[1]!Tabla6[CODIGO],Tabla29[[#This Row],[CODIGO]])</f>
        <v>0</v>
      </c>
      <c r="O99" s="45">
        <f>Tabla29[[#This Row],[DISP]]-Tabla29[[#This Row],[SALIDA]]+Tabla29[[#This Row],[ENTRADA]]</f>
        <v>2</v>
      </c>
      <c r="P99" s="29">
        <f>IFERROR(VLOOKUP(Tabla29[[#This Row],[CODIGO]],[1]!Tabla6[[CODIGO]:[PRECIO VENTA]],9,0),0)</f>
        <v>0</v>
      </c>
      <c r="Q99" s="29">
        <f>IFERROR(Tabla29[[#This Row],[PRECIO DETAL USD]]*0.8,0)</f>
        <v>5.7280000000000006</v>
      </c>
      <c r="R99" s="30">
        <f>IFERROR([1]!Tabla2[[#This Row],[STOCK]]*[1]!Tabla2[[#This Row],[COSTO]],0)</f>
        <v>431.57599999999996</v>
      </c>
    </row>
    <row r="100" spans="1:18" x14ac:dyDescent="0.35">
      <c r="A100" s="42" t="s">
        <v>281</v>
      </c>
      <c r="B100" s="32" t="s">
        <v>278</v>
      </c>
      <c r="C100" s="32" t="s">
        <v>143</v>
      </c>
      <c r="D100" s="33">
        <v>19</v>
      </c>
      <c r="E100" s="33">
        <v>16</v>
      </c>
      <c r="F100" s="34">
        <v>2</v>
      </c>
      <c r="G100" s="35" t="s">
        <v>282</v>
      </c>
      <c r="H100" s="36" t="s">
        <v>283</v>
      </c>
      <c r="I100" s="37">
        <v>78</v>
      </c>
      <c r="J100" s="43" t="s">
        <v>146</v>
      </c>
      <c r="K100" s="38">
        <v>8.6199999999999992</v>
      </c>
      <c r="L100" s="44"/>
      <c r="M100" s="39">
        <f>SUMIFS([1]!Tabla6[SALIDA],[1]!Tabla6[CODIGO],Tabla29[[#This Row],[CODIGO]])</f>
        <v>78</v>
      </c>
      <c r="N100" s="39">
        <f>SUMIFS([1]!Tabla6[ENTRADA],[1]!Tabla6[CODIGO],Tabla29[[#This Row],[CODIGO]])</f>
        <v>0</v>
      </c>
      <c r="O100" s="45">
        <f>Tabla29[[#This Row],[DISP]]-Tabla29[[#This Row],[SALIDA]]+Tabla29[[#This Row],[ENTRADA]]</f>
        <v>0</v>
      </c>
      <c r="P100" s="29">
        <f>IFERROR(VLOOKUP(Tabla29[[#This Row],[CODIGO]],[1]!Tabla6[[CODIGO]:[PRECIO VENTA]],9,0),0)</f>
        <v>0</v>
      </c>
      <c r="Q100" s="29">
        <f>IFERROR(Tabla29[[#This Row],[PRECIO DETAL USD]]*0.8,0)</f>
        <v>6.8959999999999999</v>
      </c>
      <c r="R100" s="30">
        <f>IFERROR([1]!Tabla2[[#This Row],[STOCK]]*[1]!Tabla2[[#This Row],[COSTO]],0)</f>
        <v>0</v>
      </c>
    </row>
    <row r="101" spans="1:18" hidden="1" x14ac:dyDescent="0.35">
      <c r="A101" s="42" t="s">
        <v>284</v>
      </c>
      <c r="B101" s="32" t="s">
        <v>278</v>
      </c>
      <c r="C101" s="32" t="s">
        <v>143</v>
      </c>
      <c r="D101" s="33">
        <v>19</v>
      </c>
      <c r="E101" s="33">
        <v>16</v>
      </c>
      <c r="F101" s="34">
        <v>3</v>
      </c>
      <c r="G101" s="35" t="s">
        <v>285</v>
      </c>
      <c r="H101" s="36" t="s">
        <v>286</v>
      </c>
      <c r="I101" s="37">
        <v>0</v>
      </c>
      <c r="J101" s="43" t="s">
        <v>146</v>
      </c>
      <c r="K101" s="38">
        <v>7.94</v>
      </c>
      <c r="L101" s="44"/>
      <c r="M101" s="39">
        <f>SUMIFS([1]!Tabla6[SALIDA],[1]!Tabla6[CODIGO],Tabla29[[#This Row],[CODIGO]])</f>
        <v>0</v>
      </c>
      <c r="N101" s="39">
        <f>SUMIFS([1]!Tabla6[ENTRADA],[1]!Tabla6[CODIGO],Tabla29[[#This Row],[CODIGO]])</f>
        <v>0</v>
      </c>
      <c r="O101" s="39">
        <f>Tabla29[[#This Row],[DISP]]-Tabla29[[#This Row],[SALIDA]]+Tabla29[[#This Row],[ENTRADA]]</f>
        <v>0</v>
      </c>
      <c r="P101" s="29">
        <f>IFERROR(VLOOKUP(Tabla29[[#This Row],[CODIGO]],[1]!Tabla6[[CODIGO]:[PRECIO VENTA]],9,0),0)</f>
        <v>0</v>
      </c>
      <c r="Q101" s="29">
        <f>IFERROR(Tabla29[[#This Row],[PRECIO DETAL USD]]*0.8,0)</f>
        <v>6.3520000000000003</v>
      </c>
      <c r="R101" s="30">
        <f>IFERROR([1]!Tabla2[[#This Row],[STOCK]]*[1]!Tabla2[[#This Row],[COSTO]],0)</f>
        <v>3260.1600000000003</v>
      </c>
    </row>
    <row r="102" spans="1:18" hidden="1" x14ac:dyDescent="0.35">
      <c r="A102" s="42" t="s">
        <v>287</v>
      </c>
      <c r="B102" s="32" t="s">
        <v>278</v>
      </c>
      <c r="C102" s="32" t="s">
        <v>143</v>
      </c>
      <c r="D102" s="33">
        <v>19</v>
      </c>
      <c r="E102" s="33">
        <v>16</v>
      </c>
      <c r="F102" s="34">
        <v>4</v>
      </c>
      <c r="G102" s="35" t="s">
        <v>288</v>
      </c>
      <c r="H102" s="36" t="s">
        <v>289</v>
      </c>
      <c r="I102" s="37">
        <v>0</v>
      </c>
      <c r="J102" s="43" t="s">
        <v>146</v>
      </c>
      <c r="K102" s="38">
        <v>9.5500000000000007</v>
      </c>
      <c r="L102" s="44"/>
      <c r="M102" s="39">
        <f>SUMIFS([1]!Tabla6[SALIDA],[1]!Tabla6[CODIGO],Tabla29[[#This Row],[CODIGO]])</f>
        <v>0</v>
      </c>
      <c r="N102" s="39">
        <f>SUMIFS([1]!Tabla6[ENTRADA],[1]!Tabla6[CODIGO],Tabla29[[#This Row],[CODIGO]])</f>
        <v>0</v>
      </c>
      <c r="O102" s="39">
        <f>Tabla29[[#This Row],[DISP]]-Tabla29[[#This Row],[SALIDA]]+Tabla29[[#This Row],[ENTRADA]]</f>
        <v>0</v>
      </c>
      <c r="P102" s="29">
        <f>IFERROR(VLOOKUP(Tabla29[[#This Row],[CODIGO]],[1]!Tabla6[[CODIGO]:[PRECIO VENTA]],9,0),0)</f>
        <v>0</v>
      </c>
      <c r="Q102" s="29">
        <f>IFERROR(Tabla29[[#This Row],[PRECIO DETAL USD]]*0.8,0)</f>
        <v>7.6400000000000006</v>
      </c>
      <c r="R102" s="30">
        <f>IFERROR([1]!Tabla2[[#This Row],[STOCK]]*[1]!Tabla2[[#This Row],[COSTO]],0)</f>
        <v>3031.2000000000003</v>
      </c>
    </row>
    <row r="103" spans="1:18" ht="15" customHeight="1" x14ac:dyDescent="0.35">
      <c r="A103" s="42" t="s">
        <v>290</v>
      </c>
      <c r="B103" s="32" t="s">
        <v>291</v>
      </c>
      <c r="C103" s="32" t="s">
        <v>143</v>
      </c>
      <c r="D103" s="33">
        <v>19</v>
      </c>
      <c r="E103" s="33">
        <v>16</v>
      </c>
      <c r="F103" s="34">
        <v>5</v>
      </c>
      <c r="G103" s="35" t="s">
        <v>292</v>
      </c>
      <c r="H103" s="36" t="s">
        <v>293</v>
      </c>
      <c r="I103" s="37">
        <v>31</v>
      </c>
      <c r="J103" s="43" t="s">
        <v>146</v>
      </c>
      <c r="K103" s="38">
        <v>16.53</v>
      </c>
      <c r="L103" s="44"/>
      <c r="M103" s="39">
        <f>SUMIFS([1]!Tabla6[SALIDA],[1]!Tabla6[CODIGO],Tabla29[[#This Row],[CODIGO]])</f>
        <v>0</v>
      </c>
      <c r="N103" s="39">
        <f>SUMIFS([1]!Tabla6[ENTRADA],[1]!Tabla6[CODIGO],Tabla29[[#This Row],[CODIGO]])</f>
        <v>0</v>
      </c>
      <c r="O103" s="45">
        <f>Tabla29[[#This Row],[DISP]]-Tabla29[[#This Row],[SALIDA]]+Tabla29[[#This Row],[ENTRADA]]</f>
        <v>31</v>
      </c>
      <c r="P103" s="29">
        <f>IFERROR(VLOOKUP(Tabla29[[#This Row],[CODIGO]],[1]!Tabla6[[CODIGO]:[PRECIO VENTA]],9,0),0)</f>
        <v>0</v>
      </c>
      <c r="Q103" s="29">
        <f>IFERROR(Tabla29[[#This Row],[PRECIO DETAL USD]]*0.8,0)</f>
        <v>13.224000000000002</v>
      </c>
      <c r="R103" s="30">
        <f>IFERROR([1]!Tabla2[[#This Row],[STOCK]]*[1]!Tabla2[[#This Row],[COSTO]],0)</f>
        <v>125.64000000000001</v>
      </c>
    </row>
    <row r="104" spans="1:18" ht="15" customHeight="1" x14ac:dyDescent="0.35">
      <c r="A104" s="42" t="s">
        <v>294</v>
      </c>
      <c r="B104" s="32" t="s">
        <v>291</v>
      </c>
      <c r="C104" s="32" t="s">
        <v>143</v>
      </c>
      <c r="D104" s="33">
        <v>19</v>
      </c>
      <c r="E104" s="33">
        <v>16</v>
      </c>
      <c r="F104" s="34">
        <v>6</v>
      </c>
      <c r="G104" s="35" t="s">
        <v>295</v>
      </c>
      <c r="H104" s="36" t="s">
        <v>296</v>
      </c>
      <c r="I104" s="37">
        <v>15</v>
      </c>
      <c r="J104" s="43" t="s">
        <v>146</v>
      </c>
      <c r="K104" s="38">
        <v>19.920000000000002</v>
      </c>
      <c r="L104" s="44"/>
      <c r="M104" s="39">
        <f>SUMIFS([1]!Tabla6[SALIDA],[1]!Tabla6[CODIGO],Tabla29[[#This Row],[CODIGO]])</f>
        <v>0</v>
      </c>
      <c r="N104" s="39">
        <f>SUMIFS([1]!Tabla6[ENTRADA],[1]!Tabla6[CODIGO],Tabla29[[#This Row],[CODIGO]])</f>
        <v>0</v>
      </c>
      <c r="O104" s="45">
        <f>Tabla29[[#This Row],[DISP]]-Tabla29[[#This Row],[SALIDA]]+Tabla29[[#This Row],[ENTRADA]]</f>
        <v>15</v>
      </c>
      <c r="P104" s="29">
        <f>IFERROR(VLOOKUP(Tabla29[[#This Row],[CODIGO]],[1]!Tabla6[[CODIGO]:[PRECIO VENTA]],9,0),0)</f>
        <v>0</v>
      </c>
      <c r="Q104" s="29">
        <f>IFERROR(Tabla29[[#This Row],[PRECIO DETAL USD]]*0.8,0)</f>
        <v>15.936000000000002</v>
      </c>
      <c r="R104" s="30">
        <f>IFERROR([1]!Tabla2[[#This Row],[STOCK]]*[1]!Tabla2[[#This Row],[COSTO]],0)</f>
        <v>9.2399999999999984</v>
      </c>
    </row>
    <row r="105" spans="1:18" ht="15" customHeight="1" x14ac:dyDescent="0.35">
      <c r="A105" s="42" t="s">
        <v>297</v>
      </c>
      <c r="B105" s="32" t="s">
        <v>298</v>
      </c>
      <c r="C105" s="32" t="s">
        <v>143</v>
      </c>
      <c r="D105" s="33">
        <v>19</v>
      </c>
      <c r="E105" s="33">
        <v>54</v>
      </c>
      <c r="F105" s="34">
        <v>1</v>
      </c>
      <c r="G105" s="35" t="s">
        <v>299</v>
      </c>
      <c r="H105" s="36" t="s">
        <v>300</v>
      </c>
      <c r="I105" s="37">
        <v>2</v>
      </c>
      <c r="J105" s="43" t="s">
        <v>146</v>
      </c>
      <c r="K105" s="38">
        <v>55</v>
      </c>
      <c r="L105" s="44"/>
      <c r="M105" s="39">
        <f>SUMIFS([1]!Tabla6[SALIDA],[1]!Tabla6[CODIGO],Tabla29[[#This Row],[CODIGO]])</f>
        <v>0</v>
      </c>
      <c r="N105" s="39">
        <f>SUMIFS([1]!Tabla6[ENTRADA],[1]!Tabla6[CODIGO],Tabla29[[#This Row],[CODIGO]])</f>
        <v>0</v>
      </c>
      <c r="O105" s="45">
        <f>Tabla29[[#This Row],[DISP]]-Tabla29[[#This Row],[SALIDA]]+Tabla29[[#This Row],[ENTRADA]]</f>
        <v>2</v>
      </c>
      <c r="P105" s="29">
        <f>IFERROR(VLOOKUP(Tabla29[[#This Row],[CODIGO]],[1]!Tabla6[[CODIGO]:[PRECIO VENTA]],9,0),0)</f>
        <v>0</v>
      </c>
      <c r="Q105" s="29">
        <f>IFERROR(Tabla29[[#This Row],[PRECIO DETAL USD]]*0.8,0)</f>
        <v>44</v>
      </c>
      <c r="R105" s="30">
        <f>IFERROR([1]!Tabla2[[#This Row],[STOCK]]*[1]!Tabla2[[#This Row],[COSTO]],0)</f>
        <v>129.6</v>
      </c>
    </row>
    <row r="106" spans="1:18" ht="15" customHeight="1" x14ac:dyDescent="0.35">
      <c r="A106" s="42" t="s">
        <v>301</v>
      </c>
      <c r="B106" s="32" t="s">
        <v>302</v>
      </c>
      <c r="C106" s="32" t="s">
        <v>143</v>
      </c>
      <c r="D106" s="33">
        <v>19</v>
      </c>
      <c r="E106" s="33">
        <v>54</v>
      </c>
      <c r="F106" s="34">
        <v>3</v>
      </c>
      <c r="G106" s="35" t="s">
        <v>303</v>
      </c>
      <c r="H106" s="36" t="s">
        <v>304</v>
      </c>
      <c r="I106" s="37">
        <v>133</v>
      </c>
      <c r="J106" s="43" t="s">
        <v>146</v>
      </c>
      <c r="K106" s="38">
        <v>27.5</v>
      </c>
      <c r="L106" s="38">
        <v>25</v>
      </c>
      <c r="M106" s="39">
        <f>SUMIFS([1]!Tabla6[SALIDA],[1]!Tabla6[CODIGO],Tabla29[[#This Row],[CODIGO]])</f>
        <v>133</v>
      </c>
      <c r="N106" s="39">
        <f>SUMIFS([1]!Tabla6[ENTRADA],[1]!Tabla6[CODIGO],Tabla29[[#This Row],[CODIGO]])</f>
        <v>1</v>
      </c>
      <c r="O106" s="45">
        <f>Tabla29[[#This Row],[DISP]]-Tabla29[[#This Row],[SALIDA]]+Tabla29[[#This Row],[ENTRADA]]</f>
        <v>1</v>
      </c>
      <c r="P106" s="29">
        <f>IFERROR(VLOOKUP(Tabla29[[#This Row],[CODIGO]],[1]!Tabla6[[CODIGO]:[PRECIO VENTA]],9,0),0)</f>
        <v>0</v>
      </c>
      <c r="Q106" s="29">
        <f>IFERROR(Tabla29[[#This Row],[PRECIO DETAL USD]]*0.8,0)</f>
        <v>22</v>
      </c>
      <c r="R106" s="30">
        <f>IFERROR([1]!Tabla2[[#This Row],[STOCK]]*[1]!Tabla2[[#This Row],[COSTO]],0)</f>
        <v>986.4</v>
      </c>
    </row>
    <row r="107" spans="1:18" ht="15" customHeight="1" x14ac:dyDescent="0.35">
      <c r="A107" s="42" t="s">
        <v>305</v>
      </c>
      <c r="B107" s="32"/>
      <c r="C107" s="32"/>
      <c r="D107" s="33">
        <v>19</v>
      </c>
      <c r="E107" s="33">
        <v>54</v>
      </c>
      <c r="F107" s="34">
        <v>7</v>
      </c>
      <c r="G107" s="35" t="s">
        <v>306</v>
      </c>
      <c r="H107" s="36" t="s">
        <v>307</v>
      </c>
      <c r="I107" s="37">
        <v>174</v>
      </c>
      <c r="J107" s="43" t="s">
        <v>146</v>
      </c>
      <c r="K107" s="38">
        <v>27.5</v>
      </c>
      <c r="L107" s="38">
        <v>25</v>
      </c>
      <c r="M107" s="39">
        <f>SUMIFS([1]!Tabla6[SALIDA],[1]!Tabla6[CODIGO],Tabla29[[#This Row],[CODIGO]])</f>
        <v>172</v>
      </c>
      <c r="N107" s="39">
        <f>SUMIFS([1]!Tabla6[ENTRADA],[1]!Tabla6[CODIGO],Tabla29[[#This Row],[CODIGO]])</f>
        <v>0</v>
      </c>
      <c r="O107" s="45">
        <f>Tabla29[[#This Row],[DISP]]-Tabla29[[#This Row],[SALIDA]]+Tabla29[[#This Row],[ENTRADA]]</f>
        <v>2</v>
      </c>
      <c r="P107" s="29">
        <f>IFERROR(VLOOKUP(Tabla29[[#This Row],[CODIGO]],[1]!Tabla6[[CODIGO]:[PRECIO VENTA]],9,0),0)</f>
        <v>0</v>
      </c>
      <c r="Q107" s="29">
        <f>IFERROR(Tabla29[[#This Row],[PRECIO DETAL USD]]*0.8,0)</f>
        <v>22</v>
      </c>
      <c r="R107" s="30">
        <f>IFERROR([1]!Tabla2[[#This Row],[STOCK]]*[1]!Tabla2[[#This Row],[COSTO]],0)</f>
        <v>790.4</v>
      </c>
    </row>
    <row r="108" spans="1:18" ht="15" customHeight="1" x14ac:dyDescent="0.35">
      <c r="A108" s="42" t="s">
        <v>308</v>
      </c>
      <c r="B108" s="32" t="s">
        <v>302</v>
      </c>
      <c r="C108" s="32" t="s">
        <v>143</v>
      </c>
      <c r="D108" s="33">
        <v>19</v>
      </c>
      <c r="E108" s="33">
        <v>54</v>
      </c>
      <c r="F108" s="34">
        <v>4</v>
      </c>
      <c r="G108" s="35" t="s">
        <v>309</v>
      </c>
      <c r="H108" s="36" t="s">
        <v>310</v>
      </c>
      <c r="I108" s="37"/>
      <c r="J108" s="43" t="s">
        <v>146</v>
      </c>
      <c r="K108" s="38">
        <v>36</v>
      </c>
      <c r="L108" s="38">
        <v>33.65</v>
      </c>
      <c r="M108" s="39">
        <f>SUMIFS([1]!Tabla6[SALIDA],[1]!Tabla6[CODIGO],Tabla29[[#This Row],[CODIGO]])</f>
        <v>153</v>
      </c>
      <c r="N108" s="39">
        <f>SUMIFS([1]!Tabla6[ENTRADA],[1]!Tabla6[CODIGO],Tabla29[[#This Row],[CODIGO]])</f>
        <v>200</v>
      </c>
      <c r="O108" s="45">
        <f>Tabla29[[#This Row],[DISP]]-Tabla29[[#This Row],[SALIDA]]+Tabla29[[#This Row],[ENTRADA]]</f>
        <v>47</v>
      </c>
      <c r="P108" s="29">
        <f>IFERROR(VLOOKUP(Tabla29[[#This Row],[CODIGO]],[1]!Tabla6[[CODIGO]:[PRECIO VENTA]],9,0),0)</f>
        <v>36.301369863013697</v>
      </c>
      <c r="Q108" s="29">
        <f>IFERROR(Tabla29[[#This Row],[PRECIO DETAL USD]]*0.8,0)</f>
        <v>28.8</v>
      </c>
      <c r="R108" s="30">
        <f>IFERROR([1]!Tabla2[[#This Row],[STOCK]]*[1]!Tabla2[[#This Row],[COSTO]],0)</f>
        <v>0</v>
      </c>
    </row>
    <row r="109" spans="1:18" ht="15" customHeight="1" x14ac:dyDescent="0.35">
      <c r="A109" s="42" t="s">
        <v>311</v>
      </c>
      <c r="B109" s="32"/>
      <c r="C109" s="32"/>
      <c r="D109" s="33">
        <v>19</v>
      </c>
      <c r="E109" s="33">
        <v>54</v>
      </c>
      <c r="F109" s="34">
        <v>5</v>
      </c>
      <c r="G109" s="35" t="s">
        <v>312</v>
      </c>
      <c r="H109" s="36" t="s">
        <v>313</v>
      </c>
      <c r="I109" s="37"/>
      <c r="J109" s="43" t="s">
        <v>146</v>
      </c>
      <c r="K109" s="38">
        <v>36</v>
      </c>
      <c r="L109" s="38">
        <v>33.65</v>
      </c>
      <c r="M109" s="39">
        <f>SUMIFS([1]!Tabla6[SALIDA],[1]!Tabla6[CODIGO],Tabla29[[#This Row],[CODIGO]])</f>
        <v>99</v>
      </c>
      <c r="N109" s="39">
        <f>SUMIFS([1]!Tabla6[ENTRADA],[1]!Tabla6[CODIGO],Tabla29[[#This Row],[CODIGO]])</f>
        <v>100</v>
      </c>
      <c r="O109" s="45">
        <f>Tabla29[[#This Row],[DISP]]-Tabla29[[#This Row],[SALIDA]]+Tabla29[[#This Row],[ENTRADA]]</f>
        <v>1</v>
      </c>
      <c r="P109" s="29">
        <f>IFERROR(VLOOKUP(Tabla29[[#This Row],[CODIGO]],[1]!Tabla6[[CODIGO]:[PRECIO VENTA]],9,0),0)</f>
        <v>36.301369863013697</v>
      </c>
      <c r="Q109" s="29">
        <f>IFERROR(Tabla29[[#This Row],[PRECIO DETAL USD]]*0.8,0)</f>
        <v>28.8</v>
      </c>
      <c r="R109" s="30">
        <f>IFERROR([1]!Tabla2[[#This Row],[STOCK]]*[1]!Tabla2[[#This Row],[COSTO]],0)</f>
        <v>1032.72</v>
      </c>
    </row>
    <row r="110" spans="1:18" ht="15" customHeight="1" x14ac:dyDescent="0.35">
      <c r="A110" s="42" t="s">
        <v>314</v>
      </c>
      <c r="B110" s="32"/>
      <c r="C110" s="32"/>
      <c r="D110" s="33">
        <v>19</v>
      </c>
      <c r="E110" s="33">
        <v>54</v>
      </c>
      <c r="F110" s="34">
        <v>6</v>
      </c>
      <c r="G110" s="35" t="s">
        <v>315</v>
      </c>
      <c r="H110" s="36" t="s">
        <v>316</v>
      </c>
      <c r="I110" s="37"/>
      <c r="J110" s="43" t="s">
        <v>146</v>
      </c>
      <c r="K110" s="38">
        <v>35</v>
      </c>
      <c r="L110" s="38">
        <v>33.65</v>
      </c>
      <c r="M110" s="39">
        <f>SUMIFS([1]!Tabla6[SALIDA],[1]!Tabla6[CODIGO],Tabla29[[#This Row],[CODIGO]])</f>
        <v>96</v>
      </c>
      <c r="N110" s="39">
        <f>SUMIFS([1]!Tabla6[ENTRADA],[1]!Tabla6[CODIGO],Tabla29[[#This Row],[CODIGO]])</f>
        <v>100</v>
      </c>
      <c r="O110" s="45">
        <f>Tabla29[[#This Row],[DISP]]-Tabla29[[#This Row],[SALIDA]]+Tabla29[[#This Row],[ENTRADA]]</f>
        <v>4</v>
      </c>
      <c r="P110" s="29">
        <f>IFERROR(VLOOKUP(Tabla29[[#This Row],[CODIGO]],[1]!Tabla6[[CODIGO]:[PRECIO VENTA]],9,0),0)</f>
        <v>36.301369863013697</v>
      </c>
      <c r="Q110" s="29">
        <f>IFERROR(Tabla29[[#This Row],[PRECIO DETAL USD]]*0.8,0)</f>
        <v>28</v>
      </c>
      <c r="R110" s="30">
        <f>IFERROR([1]!Tabla2[[#This Row],[STOCK]]*[1]!Tabla2[[#This Row],[COSTO]],0)</f>
        <v>1244.1599999999999</v>
      </c>
    </row>
    <row r="111" spans="1:18" ht="15" hidden="1" customHeight="1" x14ac:dyDescent="0.35">
      <c r="A111" s="42" t="s">
        <v>317</v>
      </c>
      <c r="B111" s="32" t="s">
        <v>318</v>
      </c>
      <c r="C111" s="32" t="s">
        <v>143</v>
      </c>
      <c r="D111" s="33">
        <v>19</v>
      </c>
      <c r="E111" s="33">
        <v>55</v>
      </c>
      <c r="F111" s="34">
        <v>6</v>
      </c>
      <c r="G111" s="35" t="s">
        <v>319</v>
      </c>
      <c r="H111" s="36" t="s">
        <v>320</v>
      </c>
      <c r="I111" s="37">
        <v>0</v>
      </c>
      <c r="J111" s="43" t="s">
        <v>146</v>
      </c>
      <c r="K111" s="38">
        <v>39</v>
      </c>
      <c r="L111" s="44"/>
      <c r="M111" s="39">
        <f>SUMIFS([1]!Tabla6[SALIDA],[1]!Tabla6[CODIGO],Tabla29[[#This Row],[CODIGO]])</f>
        <v>0</v>
      </c>
      <c r="N111" s="39">
        <f>SUMIFS([1]!Tabla6[ENTRADA],[1]!Tabla6[CODIGO],Tabla29[[#This Row],[CODIGO]])</f>
        <v>0</v>
      </c>
      <c r="O111" s="39">
        <f>Tabla29[[#This Row],[DISP]]-Tabla29[[#This Row],[SALIDA]]+Tabla29[[#This Row],[ENTRADA]]</f>
        <v>0</v>
      </c>
      <c r="P111" s="29">
        <f>IFERROR(VLOOKUP(Tabla29[[#This Row],[CODIGO]],[1]!Tabla6[[CODIGO]:[PRECIO VENTA]],9,0),0)</f>
        <v>0</v>
      </c>
      <c r="Q111" s="29">
        <f>IFERROR(Tabla29[[#This Row],[PRECIO DETAL USD]]*0.8,0)</f>
        <v>31.200000000000003</v>
      </c>
      <c r="R111" s="30">
        <f>IFERROR([1]!Tabla2[[#This Row],[STOCK]]*[1]!Tabla2[[#This Row],[COSTO]],0)</f>
        <v>399.36000000000007</v>
      </c>
    </row>
    <row r="112" spans="1:18" ht="15" customHeight="1" x14ac:dyDescent="0.35">
      <c r="A112" s="42" t="s">
        <v>321</v>
      </c>
      <c r="B112" s="32" t="s">
        <v>298</v>
      </c>
      <c r="C112" s="32" t="s">
        <v>143</v>
      </c>
      <c r="D112" s="33">
        <v>19</v>
      </c>
      <c r="E112" s="33">
        <v>55</v>
      </c>
      <c r="F112" s="34">
        <v>7</v>
      </c>
      <c r="G112" s="35" t="s">
        <v>322</v>
      </c>
      <c r="H112" s="36" t="s">
        <v>323</v>
      </c>
      <c r="I112" s="37">
        <v>4</v>
      </c>
      <c r="J112" s="43" t="s">
        <v>146</v>
      </c>
      <c r="K112" s="38">
        <v>36</v>
      </c>
      <c r="L112" s="44"/>
      <c r="M112" s="39">
        <f>SUMIFS([1]!Tabla6[SALIDA],[1]!Tabla6[CODIGO],Tabla29[[#This Row],[CODIGO]])</f>
        <v>0</v>
      </c>
      <c r="N112" s="39">
        <f>SUMIFS([1]!Tabla6[ENTRADA],[1]!Tabla6[CODIGO],Tabla29[[#This Row],[CODIGO]])</f>
        <v>0</v>
      </c>
      <c r="O112" s="45">
        <f>Tabla29[[#This Row],[DISP]]-Tabla29[[#This Row],[SALIDA]]+Tabla29[[#This Row],[ENTRADA]]</f>
        <v>4</v>
      </c>
      <c r="P112" s="29">
        <f>IFERROR(VLOOKUP(Tabla29[[#This Row],[CODIGO]],[1]!Tabla6[[CODIGO]:[PRECIO VENTA]],9,0),0)</f>
        <v>0</v>
      </c>
      <c r="Q112" s="29">
        <f>IFERROR(Tabla29[[#This Row],[PRECIO DETAL USD]]*0.8,0)</f>
        <v>28.8</v>
      </c>
      <c r="R112" s="30">
        <f>IFERROR([1]!Tabla2[[#This Row],[STOCK]]*[1]!Tabla2[[#This Row],[COSTO]],0)</f>
        <v>3920.8</v>
      </c>
    </row>
    <row r="113" spans="1:18" ht="15" customHeight="1" x14ac:dyDescent="0.35">
      <c r="A113" s="42" t="s">
        <v>324</v>
      </c>
      <c r="B113" s="32" t="s">
        <v>325</v>
      </c>
      <c r="C113" s="32" t="s">
        <v>143</v>
      </c>
      <c r="D113" s="33">
        <v>19</v>
      </c>
      <c r="E113" s="33">
        <v>55</v>
      </c>
      <c r="F113" s="34">
        <v>5</v>
      </c>
      <c r="G113" s="35" t="s">
        <v>326</v>
      </c>
      <c r="H113" s="36" t="s">
        <v>327</v>
      </c>
      <c r="I113" s="37">
        <v>498</v>
      </c>
      <c r="J113" s="43" t="s">
        <v>146</v>
      </c>
      <c r="K113" s="38">
        <v>17</v>
      </c>
      <c r="L113" s="38">
        <v>12</v>
      </c>
      <c r="M113" s="39">
        <f>SUMIFS([1]!Tabla6[SALIDA],[1]!Tabla6[CODIGO],Tabla29[[#This Row],[CODIGO]])</f>
        <v>18.100000000000001</v>
      </c>
      <c r="N113" s="39">
        <f>SUMIFS([1]!Tabla6[ENTRADA],[1]!Tabla6[CODIGO],Tabla29[[#This Row],[CODIGO]])</f>
        <v>0</v>
      </c>
      <c r="O113" s="45">
        <f>Tabla29[[#This Row],[DISP]]-Tabla29[[#This Row],[SALIDA]]+Tabla29[[#This Row],[ENTRADA]]</f>
        <v>479.9</v>
      </c>
      <c r="P113" s="29">
        <f>IFERROR(VLOOKUP(Tabla29[[#This Row],[CODIGO]],[1]!Tabla6[[CODIGO]:[PRECIO VENTA]],9,0),0)</f>
        <v>0</v>
      </c>
      <c r="Q113" s="29">
        <f>IFERROR(Tabla29[[#This Row],[PRECIO DETAL USD]]*0.8,0)</f>
        <v>13.600000000000001</v>
      </c>
      <c r="R113" s="30">
        <f>IFERROR([1]!Tabla2[[#This Row],[STOCK]]*[1]!Tabla2[[#This Row],[COSTO]],0)</f>
        <v>1149.5999999999999</v>
      </c>
    </row>
    <row r="114" spans="1:18" ht="15" customHeight="1" x14ac:dyDescent="0.35">
      <c r="A114" s="42" t="s">
        <v>328</v>
      </c>
      <c r="B114" s="32" t="s">
        <v>325</v>
      </c>
      <c r="C114" s="32" t="s">
        <v>143</v>
      </c>
      <c r="D114" s="33">
        <v>19</v>
      </c>
      <c r="E114" s="33">
        <v>54</v>
      </c>
      <c r="F114" s="34">
        <v>2</v>
      </c>
      <c r="G114" s="35" t="s">
        <v>329</v>
      </c>
      <c r="H114" s="36" t="s">
        <v>330</v>
      </c>
      <c r="I114" s="37">
        <v>600</v>
      </c>
      <c r="J114" s="43" t="s">
        <v>146</v>
      </c>
      <c r="K114" s="38">
        <v>5</v>
      </c>
      <c r="L114" s="38">
        <v>3</v>
      </c>
      <c r="M114" s="39">
        <f>SUMIFS([1]!Tabla6[SALIDA],[1]!Tabla6[CODIGO],Tabla29[[#This Row],[CODIGO]])</f>
        <v>0</v>
      </c>
      <c r="N114" s="39">
        <f>SUMIFS([1]!Tabla6[ENTRADA],[1]!Tabla6[CODIGO],Tabla29[[#This Row],[CODIGO]])</f>
        <v>0</v>
      </c>
      <c r="O114" s="45">
        <f>Tabla29[[#This Row],[DISP]]-Tabla29[[#This Row],[SALIDA]]+Tabla29[[#This Row],[ENTRADA]]</f>
        <v>600</v>
      </c>
      <c r="P114" s="29">
        <f>IFERROR(VLOOKUP(Tabla29[[#This Row],[CODIGO]],[1]!Tabla6[[CODIGO]:[PRECIO VENTA]],9,0),0)</f>
        <v>0</v>
      </c>
      <c r="Q114" s="29">
        <f>IFERROR(Tabla29[[#This Row],[PRECIO DETAL USD]]*0.8,0)</f>
        <v>4</v>
      </c>
      <c r="R114" s="30">
        <f>IFERROR([1]!Tabla2[[#This Row],[STOCK]]*[1]!Tabla2[[#This Row],[COSTO]],0)</f>
        <v>240</v>
      </c>
    </row>
    <row r="115" spans="1:18" ht="18.5" x14ac:dyDescent="0.4">
      <c r="A115" s="41">
        <v>13</v>
      </c>
      <c r="B115" s="20"/>
      <c r="C115" s="21"/>
      <c r="D115" s="22"/>
      <c r="E115" s="22"/>
      <c r="F115" s="22"/>
      <c r="G115" s="23" t="s">
        <v>331</v>
      </c>
      <c r="H115" s="24"/>
      <c r="I115" s="22"/>
      <c r="J115" s="25"/>
      <c r="K115" s="26" t="s">
        <v>20</v>
      </c>
      <c r="L115" s="22"/>
      <c r="M115" s="22"/>
      <c r="N115" s="22"/>
      <c r="O115" s="27" t="s">
        <v>21</v>
      </c>
      <c r="P115" s="28">
        <f>IFERROR(VLOOKUP(Tabla29[[#This Row],[CODIGO]],[1]!Tabla6[[CODIGO]:[PRECIO VENTA]],9,0),0)</f>
        <v>0</v>
      </c>
      <c r="Q115" s="29">
        <f>IFERROR(Tabla29[[#This Row],[PRECIO DETAL USD]]*0.8,0)</f>
        <v>0</v>
      </c>
      <c r="R115" s="30">
        <f>IFERROR([1]!Tabla2[[#This Row],[STOCK]]*[1]!Tabla2[[#This Row],[COSTO]],0)</f>
        <v>0</v>
      </c>
    </row>
    <row r="116" spans="1:18" x14ac:dyDescent="0.35">
      <c r="A116" s="42" t="s">
        <v>332</v>
      </c>
      <c r="B116" s="32" t="s">
        <v>333</v>
      </c>
      <c r="C116" s="32" t="s">
        <v>143</v>
      </c>
      <c r="D116" s="33">
        <v>11</v>
      </c>
      <c r="E116" s="33">
        <v>15</v>
      </c>
      <c r="F116" s="34">
        <v>1</v>
      </c>
      <c r="G116" s="35" t="s">
        <v>334</v>
      </c>
      <c r="H116" s="36" t="s">
        <v>335</v>
      </c>
      <c r="I116" s="37">
        <v>50</v>
      </c>
      <c r="J116" s="43" t="s">
        <v>146</v>
      </c>
      <c r="K116" s="38">
        <v>57.6</v>
      </c>
      <c r="L116" s="44"/>
      <c r="M116" s="39">
        <f>SUMIFS([1]!Tabla6[SALIDA],[1]!Tabla6[CODIGO],Tabla29[[#This Row],[CODIGO]])</f>
        <v>50</v>
      </c>
      <c r="N116" s="39">
        <f>SUMIFS([1]!Tabla6[ENTRADA],[1]!Tabla6[CODIGO],Tabla29[[#This Row],[CODIGO]])</f>
        <v>200</v>
      </c>
      <c r="O116" s="39">
        <f>Tabla29[[#This Row],[DISP]]-Tabla29[[#This Row],[SALIDA]]+Tabla29[[#This Row],[ENTRADA]]</f>
        <v>200</v>
      </c>
      <c r="P116" s="29">
        <f>IFERROR(VLOOKUP(Tabla29[[#This Row],[CODIGO]],[1]!Tabla6[[CODIGO]:[PRECIO VENTA]],9,0),0)</f>
        <v>0</v>
      </c>
      <c r="Q116" s="29">
        <f>IFERROR(Tabla29[[#This Row],[PRECIO DETAL USD]]*0.8,0)</f>
        <v>46.080000000000005</v>
      </c>
      <c r="R116" s="30">
        <f>IFERROR([1]!Tabla2[[#This Row],[STOCK]]*[1]!Tabla2[[#This Row],[COSTO]],0)</f>
        <v>4246</v>
      </c>
    </row>
    <row r="117" spans="1:18" ht="15" customHeight="1" x14ac:dyDescent="0.4">
      <c r="A117" s="41">
        <v>14</v>
      </c>
      <c r="B117" s="20"/>
      <c r="C117" s="21"/>
      <c r="D117" s="22"/>
      <c r="E117" s="22"/>
      <c r="F117" s="22"/>
      <c r="G117" s="23" t="s">
        <v>336</v>
      </c>
      <c r="H117" s="24"/>
      <c r="I117" s="22"/>
      <c r="J117" s="25"/>
      <c r="K117" s="26" t="s">
        <v>20</v>
      </c>
      <c r="L117" s="22"/>
      <c r="M117" s="22"/>
      <c r="N117" s="22"/>
      <c r="O117" s="27" t="s">
        <v>21</v>
      </c>
      <c r="P117" s="28">
        <f>IFERROR(VLOOKUP(Tabla29[[#This Row],[CODIGO]],[1]!Tabla6[[CODIGO]:[PRECIO VENTA]],9,0),0)</f>
        <v>0</v>
      </c>
      <c r="Q117" s="29">
        <f>IFERROR(Tabla29[[#This Row],[PRECIO DETAL USD]]*0.8,0)</f>
        <v>0</v>
      </c>
      <c r="R117" s="30">
        <f>IFERROR([1]!Tabla2[[#This Row],[STOCK]]*[1]!Tabla2[[#This Row],[COSTO]],0)</f>
        <v>768.00000000000011</v>
      </c>
    </row>
    <row r="118" spans="1:18" x14ac:dyDescent="0.35">
      <c r="A118" s="42" t="s">
        <v>337</v>
      </c>
      <c r="B118" s="32" t="s">
        <v>338</v>
      </c>
      <c r="C118" s="32" t="s">
        <v>339</v>
      </c>
      <c r="D118" s="33">
        <v>1</v>
      </c>
      <c r="E118" s="33">
        <v>38</v>
      </c>
      <c r="F118" s="34">
        <v>1</v>
      </c>
      <c r="G118" s="35" t="s">
        <v>340</v>
      </c>
      <c r="H118" s="36" t="s">
        <v>341</v>
      </c>
      <c r="I118" s="37">
        <v>22</v>
      </c>
      <c r="J118" s="43" t="s">
        <v>43</v>
      </c>
      <c r="K118" s="38">
        <v>295</v>
      </c>
      <c r="L118" s="44"/>
      <c r="M118" s="39">
        <f>SUMIFS([1]!Tabla6[SALIDA],[1]!Tabla6[CODIGO],Tabla29[[#This Row],[CODIGO]])</f>
        <v>22</v>
      </c>
      <c r="N118" s="39">
        <f>SUMIFS([1]!Tabla6[ENTRADA],[1]!Tabla6[CODIGO],Tabla29[[#This Row],[CODIGO]])</f>
        <v>34</v>
      </c>
      <c r="O118" s="45">
        <f>Tabla29[[#This Row],[DISP]]-Tabla29[[#This Row],[SALIDA]]+Tabla29[[#This Row],[ENTRADA]]</f>
        <v>34</v>
      </c>
      <c r="P118" s="29">
        <f>IFERROR(VLOOKUP(Tabla29[[#This Row],[CODIGO]],[1]!Tabla6[[CODIGO]:[PRECIO VENTA]],9,0),0)</f>
        <v>0</v>
      </c>
      <c r="Q118" s="29">
        <f>IFERROR(Tabla29[[#This Row],[PRECIO DETAL USD]]*0.8,0)</f>
        <v>236</v>
      </c>
      <c r="R118" s="30">
        <f>IFERROR([1]!Tabla2[[#This Row],[STOCK]]*[1]!Tabla2[[#This Row],[COSTO]],0)</f>
        <v>24530.400000000001</v>
      </c>
    </row>
    <row r="119" spans="1:18" x14ac:dyDescent="0.35">
      <c r="A119" s="42" t="s">
        <v>342</v>
      </c>
      <c r="B119" s="32" t="s">
        <v>338</v>
      </c>
      <c r="C119" s="32" t="s">
        <v>339</v>
      </c>
      <c r="D119" s="33">
        <v>1</v>
      </c>
      <c r="E119" s="33">
        <v>38</v>
      </c>
      <c r="F119" s="34">
        <v>2</v>
      </c>
      <c r="G119" s="35" t="s">
        <v>343</v>
      </c>
      <c r="H119" s="36" t="s">
        <v>344</v>
      </c>
      <c r="I119" s="37">
        <v>2</v>
      </c>
      <c r="J119" s="43" t="s">
        <v>43</v>
      </c>
      <c r="K119" s="38">
        <v>136</v>
      </c>
      <c r="L119" s="44"/>
      <c r="M119" s="39">
        <f>SUMIFS([1]!Tabla6[SALIDA],[1]!Tabla6[CODIGO],Tabla29[[#This Row],[CODIGO]])</f>
        <v>108</v>
      </c>
      <c r="N119" s="39">
        <f>SUMIFS([1]!Tabla6[ENTRADA],[1]!Tabla6[CODIGO],Tabla29[[#This Row],[CODIGO]])</f>
        <v>247</v>
      </c>
      <c r="O119" s="45">
        <f>Tabla29[[#This Row],[DISP]]-Tabla29[[#This Row],[SALIDA]]+Tabla29[[#This Row],[ENTRADA]]</f>
        <v>141</v>
      </c>
      <c r="P119" s="29">
        <f>IFERROR(VLOOKUP(Tabla29[[#This Row],[CODIGO]],[1]!Tabla6[[CODIGO]:[PRECIO VENTA]],9,0),0)</f>
        <v>0</v>
      </c>
      <c r="Q119" s="29">
        <f>IFERROR(Tabla29[[#This Row],[PRECIO DETAL USD]]*0.8,0)</f>
        <v>108.80000000000001</v>
      </c>
      <c r="R119" s="30">
        <f>IFERROR([1]!Tabla2[[#This Row],[STOCK]]*[1]!Tabla2[[#This Row],[COSTO]],0)</f>
        <v>475.2</v>
      </c>
    </row>
    <row r="120" spans="1:18" hidden="1" x14ac:dyDescent="0.35">
      <c r="A120" s="42" t="s">
        <v>345</v>
      </c>
      <c r="B120" s="32" t="s">
        <v>338</v>
      </c>
      <c r="C120" s="32" t="s">
        <v>339</v>
      </c>
      <c r="D120" s="33">
        <v>1</v>
      </c>
      <c r="E120" s="33">
        <v>38</v>
      </c>
      <c r="F120" s="34">
        <v>3</v>
      </c>
      <c r="G120" s="35" t="s">
        <v>346</v>
      </c>
      <c r="H120" s="36" t="s">
        <v>347</v>
      </c>
      <c r="I120" s="37">
        <v>18</v>
      </c>
      <c r="J120" s="43" t="s">
        <v>43</v>
      </c>
      <c r="K120" s="38">
        <v>130</v>
      </c>
      <c r="L120" s="44"/>
      <c r="M120" s="39">
        <f>SUMIFS([1]!Tabla6[SALIDA],[1]!Tabla6[CODIGO],Tabla29[[#This Row],[CODIGO]])</f>
        <v>19</v>
      </c>
      <c r="N120" s="39">
        <f>SUMIFS([1]!Tabla6[ENTRADA],[1]!Tabla6[CODIGO],Tabla29[[#This Row],[CODIGO]])</f>
        <v>1</v>
      </c>
      <c r="O120" s="39">
        <f>Tabla29[[#This Row],[DISP]]-Tabla29[[#This Row],[SALIDA]]+Tabla29[[#This Row],[ENTRADA]]</f>
        <v>0</v>
      </c>
      <c r="P120" s="29">
        <f>IFERROR(VLOOKUP(Tabla29[[#This Row],[CODIGO]],[1]!Tabla6[[CODIGO]:[PRECIO VENTA]],9,0),0)</f>
        <v>0</v>
      </c>
      <c r="Q120" s="29">
        <f>IFERROR(Tabla29[[#This Row],[PRECIO DETAL USD]]*0.8,0)</f>
        <v>104</v>
      </c>
      <c r="R120" s="30">
        <f>IFERROR([1]!Tabla2[[#This Row],[STOCK]]*[1]!Tabla2[[#This Row],[COSTO]],0)</f>
        <v>1976.0000000000002</v>
      </c>
    </row>
    <row r="121" spans="1:18" ht="15" customHeight="1" x14ac:dyDescent="0.4">
      <c r="A121" s="41">
        <v>15</v>
      </c>
      <c r="B121" s="32"/>
      <c r="C121" s="21"/>
      <c r="D121" s="22"/>
      <c r="E121" s="22"/>
      <c r="F121" s="22"/>
      <c r="G121" s="23" t="s">
        <v>348</v>
      </c>
      <c r="H121" s="24"/>
      <c r="I121" s="22"/>
      <c r="J121" s="25"/>
      <c r="K121" s="26" t="s">
        <v>20</v>
      </c>
      <c r="L121" s="22"/>
      <c r="M121" s="22"/>
      <c r="N121" s="22"/>
      <c r="O121" s="27" t="s">
        <v>21</v>
      </c>
      <c r="P121" s="28">
        <f>IFERROR(VLOOKUP(Tabla29[[#This Row],[CODIGO]],[1]!Tabla6[[CODIGO]:[PRECIO VENTA]],9,0),0)</f>
        <v>0</v>
      </c>
      <c r="Q121" s="29">
        <f>IFERROR(Tabla29[[#This Row],[PRECIO DETAL USD]]*0.8,0)</f>
        <v>0</v>
      </c>
      <c r="R121" s="30">
        <f>IFERROR([1]!Tabla2[[#This Row],[STOCK]]*[1]!Tabla2[[#This Row],[COSTO]],0)</f>
        <v>0</v>
      </c>
    </row>
    <row r="122" spans="1:18" ht="15" customHeight="1" x14ac:dyDescent="0.35">
      <c r="A122" s="42" t="s">
        <v>349</v>
      </c>
      <c r="B122" s="32" t="s">
        <v>350</v>
      </c>
      <c r="C122" s="32" t="s">
        <v>351</v>
      </c>
      <c r="D122" s="33">
        <v>1</v>
      </c>
      <c r="E122" s="33">
        <v>10</v>
      </c>
      <c r="F122" s="34">
        <v>1</v>
      </c>
      <c r="G122" s="35" t="s">
        <v>352</v>
      </c>
      <c r="H122" s="36" t="s">
        <v>353</v>
      </c>
      <c r="I122" s="37">
        <v>1</v>
      </c>
      <c r="J122" s="43" t="s">
        <v>43</v>
      </c>
      <c r="K122" s="38">
        <v>190</v>
      </c>
      <c r="L122" s="44"/>
      <c r="M122" s="39">
        <f>SUMIFS([1]!Tabla6[SALIDA],[1]!Tabla6[CODIGO],Tabla29[[#This Row],[CODIGO]])</f>
        <v>0</v>
      </c>
      <c r="N122" s="39">
        <f>SUMIFS([1]!Tabla6[ENTRADA],[1]!Tabla6[CODIGO],Tabla29[[#This Row],[CODIGO]])</f>
        <v>0</v>
      </c>
      <c r="O122" s="45">
        <f>Tabla29[[#This Row],[DISP]]-Tabla29[[#This Row],[SALIDA]]+Tabla29[[#This Row],[ENTRADA]]</f>
        <v>1</v>
      </c>
      <c r="P122" s="29">
        <f>IFERROR(VLOOKUP(Tabla29[[#This Row],[CODIGO]],[1]!Tabla6[[CODIGO]:[PRECIO VENTA]],9,0),0)</f>
        <v>0</v>
      </c>
      <c r="Q122" s="29">
        <f>IFERROR(Tabla29[[#This Row],[PRECIO DETAL USD]]*0.8,0)</f>
        <v>152</v>
      </c>
      <c r="R122" s="30">
        <f>IFERROR([1]!Tabla2[[#This Row],[STOCK]]*[1]!Tabla2[[#This Row],[COSTO]],0)</f>
        <v>-3934.2720000049599</v>
      </c>
    </row>
    <row r="123" spans="1:18" ht="15" customHeight="1" x14ac:dyDescent="0.35">
      <c r="A123" s="42" t="s">
        <v>354</v>
      </c>
      <c r="B123" s="32" t="s">
        <v>350</v>
      </c>
      <c r="C123" s="32" t="s">
        <v>351</v>
      </c>
      <c r="D123" s="33">
        <v>1</v>
      </c>
      <c r="E123" s="33">
        <v>10</v>
      </c>
      <c r="F123" s="34">
        <v>2</v>
      </c>
      <c r="G123" s="35" t="s">
        <v>355</v>
      </c>
      <c r="H123" s="36" t="s">
        <v>356</v>
      </c>
      <c r="I123" s="37">
        <v>341</v>
      </c>
      <c r="J123" s="43" t="s">
        <v>43</v>
      </c>
      <c r="K123" s="38">
        <v>270</v>
      </c>
      <c r="L123" s="44"/>
      <c r="M123" s="39">
        <f>SUMIFS([1]!Tabla6[SALIDA],[1]!Tabla6[CODIGO],Tabla29[[#This Row],[CODIGO]])</f>
        <v>194</v>
      </c>
      <c r="N123" s="39">
        <f>SUMIFS([1]!Tabla6[ENTRADA],[1]!Tabla6[CODIGO],Tabla29[[#This Row],[CODIGO]])</f>
        <v>0</v>
      </c>
      <c r="O123" s="45">
        <f>Tabla29[[#This Row],[DISP]]-Tabla29[[#This Row],[SALIDA]]+Tabla29[[#This Row],[ENTRADA]]</f>
        <v>147</v>
      </c>
      <c r="P123" s="29">
        <f>IFERROR(VLOOKUP(Tabla29[[#This Row],[CODIGO]],[1]!Tabla6[[CODIGO]:[PRECIO VENTA]],9,0),0)</f>
        <v>0</v>
      </c>
      <c r="Q123" s="29">
        <f>IFERROR(Tabla29[[#This Row],[PRECIO DETAL USD]]*0.8,0)</f>
        <v>216</v>
      </c>
      <c r="R123" s="30">
        <f>IFERROR([1]!Tabla2[[#This Row],[STOCK]]*[1]!Tabla2[[#This Row],[COSTO]],0)</f>
        <v>9295.0400000000009</v>
      </c>
    </row>
    <row r="124" spans="1:18" ht="15" customHeight="1" x14ac:dyDescent="0.35">
      <c r="A124" s="42" t="s">
        <v>357</v>
      </c>
      <c r="B124" s="32" t="s">
        <v>350</v>
      </c>
      <c r="C124" s="32" t="s">
        <v>351</v>
      </c>
      <c r="D124" s="33">
        <v>1</v>
      </c>
      <c r="E124" s="33">
        <v>10</v>
      </c>
      <c r="F124" s="34">
        <v>3</v>
      </c>
      <c r="G124" s="35" t="s">
        <v>358</v>
      </c>
      <c r="H124" s="36" t="s">
        <v>359</v>
      </c>
      <c r="I124" s="37">
        <v>32</v>
      </c>
      <c r="J124" s="43" t="s">
        <v>43</v>
      </c>
      <c r="K124" s="38">
        <v>280</v>
      </c>
      <c r="L124" s="44"/>
      <c r="M124" s="39">
        <f>SUMIFS([1]!Tabla6[SALIDA],[1]!Tabla6[CODIGO],Tabla29[[#This Row],[CODIGO]])</f>
        <v>56</v>
      </c>
      <c r="N124" s="39">
        <f>SUMIFS([1]!Tabla6[ENTRADA],[1]!Tabla6[CODIGO],Tabla29[[#This Row],[CODIGO]])</f>
        <v>0</v>
      </c>
      <c r="O124" s="45">
        <f>Tabla29[[#This Row],[DISP]]-Tabla29[[#This Row],[SALIDA]]+Tabla29[[#This Row],[ENTRADA]]</f>
        <v>-24</v>
      </c>
      <c r="P124" s="29">
        <f>IFERROR(VLOOKUP(Tabla29[[#This Row],[CODIGO]],[1]!Tabla6[[CODIGO]:[PRECIO VENTA]],9,0),0)</f>
        <v>0</v>
      </c>
      <c r="Q124" s="29">
        <f>IFERROR(Tabla29[[#This Row],[PRECIO DETAL USD]]*0.8,0)</f>
        <v>224</v>
      </c>
      <c r="R124" s="30">
        <f>IFERROR([1]!Tabla2[[#This Row],[STOCK]]*[1]!Tabla2[[#This Row],[COSTO]],0)</f>
        <v>6750.9600000000009</v>
      </c>
    </row>
    <row r="125" spans="1:18" ht="15" customHeight="1" x14ac:dyDescent="0.35">
      <c r="A125" s="42" t="s">
        <v>360</v>
      </c>
      <c r="B125" s="32" t="s">
        <v>350</v>
      </c>
      <c r="C125" s="32" t="s">
        <v>351</v>
      </c>
      <c r="D125" s="33">
        <v>1</v>
      </c>
      <c r="E125" s="33">
        <v>10</v>
      </c>
      <c r="F125" s="34">
        <v>4</v>
      </c>
      <c r="G125" s="35" t="s">
        <v>361</v>
      </c>
      <c r="H125" s="36" t="s">
        <v>362</v>
      </c>
      <c r="I125" s="37">
        <v>36</v>
      </c>
      <c r="J125" s="43" t="s">
        <v>43</v>
      </c>
      <c r="K125" s="38">
        <v>290</v>
      </c>
      <c r="L125" s="44"/>
      <c r="M125" s="39">
        <f>SUMIFS([1]!Tabla6[SALIDA],[1]!Tabla6[CODIGO],Tabla29[[#This Row],[CODIGO]])</f>
        <v>2</v>
      </c>
      <c r="N125" s="39">
        <f>SUMIFS([1]!Tabla6[ENTRADA],[1]!Tabla6[CODIGO],Tabla29[[#This Row],[CODIGO]])</f>
        <v>0</v>
      </c>
      <c r="O125" s="45">
        <f>Tabla29[[#This Row],[DISP]]-Tabla29[[#This Row],[SALIDA]]+Tabla29[[#This Row],[ENTRADA]]</f>
        <v>34</v>
      </c>
      <c r="P125" s="29">
        <f>IFERROR(VLOOKUP(Tabla29[[#This Row],[CODIGO]],[1]!Tabla6[[CODIGO]:[PRECIO VENTA]],9,0),0)</f>
        <v>0</v>
      </c>
      <c r="Q125" s="29">
        <f>IFERROR(Tabla29[[#This Row],[PRECIO DETAL USD]]*0.8,0)</f>
        <v>232</v>
      </c>
      <c r="R125" s="30">
        <f>IFERROR([1]!Tabla2[[#This Row],[STOCK]]*[1]!Tabla2[[#This Row],[COSTO]],0)</f>
        <v>176.32</v>
      </c>
    </row>
    <row r="126" spans="1:18" ht="18.5" x14ac:dyDescent="0.4">
      <c r="A126" s="41">
        <v>16</v>
      </c>
      <c r="B126" s="32"/>
      <c r="C126" s="21"/>
      <c r="D126" s="22"/>
      <c r="E126" s="22"/>
      <c r="F126" s="71" t="s">
        <v>363</v>
      </c>
      <c r="G126" s="23" t="s">
        <v>364</v>
      </c>
      <c r="H126" s="24"/>
      <c r="I126" s="22"/>
      <c r="J126" s="25"/>
      <c r="K126" s="26" t="s">
        <v>20</v>
      </c>
      <c r="L126" s="22"/>
      <c r="M126" s="22"/>
      <c r="N126" s="22"/>
      <c r="O126" s="27" t="s">
        <v>21</v>
      </c>
      <c r="P126" s="28">
        <f>IFERROR(VLOOKUP(Tabla29[[#This Row],[CODIGO]],[1]!Tabla6[[CODIGO]:[PRECIO VENTA]],9,0),0)</f>
        <v>0</v>
      </c>
      <c r="Q126" s="29">
        <f>IFERROR(Tabla29[[#This Row],[PRECIO DETAL USD]]*0.8,0)</f>
        <v>0</v>
      </c>
      <c r="R126" s="30">
        <f>IFERROR([1]!Tabla2[[#This Row],[STOCK]]*[1]!Tabla2[[#This Row],[COSTO]],0)</f>
        <v>5076.72</v>
      </c>
    </row>
    <row r="127" spans="1:18" x14ac:dyDescent="0.35">
      <c r="A127" s="47" t="s">
        <v>365</v>
      </c>
      <c r="B127" s="56"/>
      <c r="C127" s="56"/>
      <c r="D127" s="57"/>
      <c r="E127" s="57"/>
      <c r="F127" s="58"/>
      <c r="G127" s="59" t="s">
        <v>366</v>
      </c>
      <c r="H127" s="60" t="s">
        <v>367</v>
      </c>
      <c r="I127" s="51"/>
      <c r="J127" s="52" t="s">
        <v>368</v>
      </c>
      <c r="K127" s="53">
        <v>5</v>
      </c>
      <c r="L127" s="72"/>
      <c r="M127" s="55">
        <f>SUMIFS([1]!Tabla6[SALIDA],[1]!Tabla6[CODIGO],Tabla29[[#This Row],[CODIGO]])</f>
        <v>15</v>
      </c>
      <c r="N127" s="55">
        <f>SUMIFS([1]!Tabla6[ENTRADA],[1]!Tabla6[CODIGO],Tabla29[[#This Row],[CODIGO]])</f>
        <v>15</v>
      </c>
      <c r="O127" s="39">
        <f>Tabla29[[#This Row],[DISP]]-Tabla29[[#This Row],[SALIDA]]+Tabla29[[#This Row],[ENTRADA]]</f>
        <v>0</v>
      </c>
      <c r="P127" s="73">
        <f>IFERROR(VLOOKUP(Tabla29[[#This Row],[CODIGO]],[1]!Tabla6[[CODIGO]:[PRECIO VENTA]],9,0),0)</f>
        <v>0</v>
      </c>
      <c r="Q127" s="29">
        <f>IFERROR(Tabla29[[#This Row],[PRECIO DETAL USD]]*0.8,0)</f>
        <v>4</v>
      </c>
      <c r="R127" s="30">
        <f>IFERROR([1]!Tabla2[[#This Row],[STOCK]]*[1]!Tabla2[[#This Row],[COSTO]],0)</f>
        <v>17176.800000000003</v>
      </c>
    </row>
    <row r="128" spans="1:18" x14ac:dyDescent="0.35">
      <c r="A128" s="47" t="s">
        <v>369</v>
      </c>
      <c r="B128" s="32" t="s">
        <v>370</v>
      </c>
      <c r="C128" s="32" t="s">
        <v>371</v>
      </c>
      <c r="D128" s="33">
        <v>1</v>
      </c>
      <c r="E128" s="33">
        <v>40</v>
      </c>
      <c r="F128" s="34">
        <v>4</v>
      </c>
      <c r="G128" s="35" t="s">
        <v>372</v>
      </c>
      <c r="H128" s="36" t="s">
        <v>373</v>
      </c>
      <c r="I128" s="37">
        <v>21</v>
      </c>
      <c r="J128" s="43" t="s">
        <v>368</v>
      </c>
      <c r="K128" s="38">
        <v>7.5</v>
      </c>
      <c r="L128" s="44"/>
      <c r="M128" s="39">
        <f>SUMIFS([1]!Tabla6[SALIDA],[1]!Tabla6[CODIGO],Tabla29[[#This Row],[CODIGO]])</f>
        <v>146</v>
      </c>
      <c r="N128" s="39">
        <f>SUMIFS([1]!Tabla6[ENTRADA],[1]!Tabla6[CODIGO],Tabla29[[#This Row],[CODIGO]])</f>
        <v>145</v>
      </c>
      <c r="O128" s="39">
        <f>Tabla29[[#This Row],[DISP]]-Tabla29[[#This Row],[SALIDA]]+Tabla29[[#This Row],[ENTRADA]]</f>
        <v>20</v>
      </c>
      <c r="P128" s="29">
        <f>IFERROR(VLOOKUP(Tabla29[[#This Row],[CODIGO]],[1]!Tabla6[[CODIGO]:[PRECIO VENTA]],9,0),0)</f>
        <v>0</v>
      </c>
      <c r="Q128" s="29">
        <f>IFERROR(Tabla29[[#This Row],[PRECIO DETAL USD]]*0.8,0)</f>
        <v>6</v>
      </c>
      <c r="R128" s="30">
        <f>IFERROR([1]!Tabla2[[#This Row],[STOCK]]*[1]!Tabla2[[#This Row],[COSTO]],0)</f>
        <v>2240</v>
      </c>
    </row>
    <row r="129" spans="1:18" x14ac:dyDescent="0.35">
      <c r="A129" s="47" t="s">
        <v>374</v>
      </c>
      <c r="B129" s="32" t="s">
        <v>370</v>
      </c>
      <c r="C129" s="32" t="s">
        <v>371</v>
      </c>
      <c r="D129" s="33">
        <v>1</v>
      </c>
      <c r="E129" s="33">
        <v>40</v>
      </c>
      <c r="F129" s="34">
        <v>5</v>
      </c>
      <c r="G129" s="35" t="s">
        <v>375</v>
      </c>
      <c r="H129" s="36" t="s">
        <v>376</v>
      </c>
      <c r="I129" s="37">
        <v>40</v>
      </c>
      <c r="J129" s="43" t="s">
        <v>368</v>
      </c>
      <c r="K129" s="38">
        <v>7.9</v>
      </c>
      <c r="L129" s="44"/>
      <c r="M129" s="39">
        <f>SUMIFS([1]!Tabla6[SALIDA],[1]!Tabla6[CODIGO],Tabla29[[#This Row],[CODIGO]])</f>
        <v>83</v>
      </c>
      <c r="N129" s="39">
        <f>SUMIFS([1]!Tabla6[ENTRADA],[1]!Tabla6[CODIGO],Tabla29[[#This Row],[CODIGO]])</f>
        <v>52</v>
      </c>
      <c r="O129" s="45">
        <f>Tabla29[[#This Row],[DISP]]-Tabla29[[#This Row],[SALIDA]]+Tabla29[[#This Row],[ENTRADA]]</f>
        <v>9</v>
      </c>
      <c r="P129" s="29">
        <f>IFERROR(VLOOKUP(Tabla29[[#This Row],[CODIGO]],[1]!Tabla6[[CODIGO]:[PRECIO VENTA]],9,0),0)</f>
        <v>0</v>
      </c>
      <c r="Q129" s="29">
        <f>IFERROR(Tabla29[[#This Row],[PRECIO DETAL USD]]*0.8,0)</f>
        <v>6.32</v>
      </c>
      <c r="R129" s="30">
        <f>IFERROR([1]!Tabla2[[#This Row],[STOCK]]*[1]!Tabla2[[#This Row],[COSTO]],0)</f>
        <v>1760.0000000000002</v>
      </c>
    </row>
    <row r="130" spans="1:18" x14ac:dyDescent="0.35">
      <c r="A130" s="47" t="s">
        <v>377</v>
      </c>
      <c r="B130" s="48"/>
      <c r="C130" s="48"/>
      <c r="D130" s="49"/>
      <c r="E130" s="49"/>
      <c r="F130" s="50"/>
      <c r="G130" s="59" t="s">
        <v>378</v>
      </c>
      <c r="H130" s="36" t="s">
        <v>379</v>
      </c>
      <c r="I130" s="51"/>
      <c r="J130" s="52" t="s">
        <v>368</v>
      </c>
      <c r="K130" s="53">
        <v>8.5</v>
      </c>
      <c r="L130" s="65"/>
      <c r="M130" s="45">
        <f>SUMIFS([1]!Tabla6[SALIDA],[1]!Tabla6[CODIGO],Tabla29[[#This Row],[CODIGO]])</f>
        <v>0</v>
      </c>
      <c r="N130" s="45">
        <f>SUMIFS([1]!Tabla6[ENTRADA],[1]!Tabla6[CODIGO],Tabla29[[#This Row],[CODIGO]])</f>
        <v>34</v>
      </c>
      <c r="O130" s="45">
        <f>Tabla29[[#This Row],[DISP]]-Tabla29[[#This Row],[SALIDA]]+Tabla29[[#This Row],[ENTRADA]]</f>
        <v>34</v>
      </c>
      <c r="P130" s="66">
        <f>IFERROR(VLOOKUP(Tabla29[[#This Row],[CODIGO]],[1]!Tabla6[[CODIGO]:[PRECIO VENTA]],9,0),0)</f>
        <v>0</v>
      </c>
      <c r="Q130" s="67">
        <f>IFERROR(Tabla29[[#This Row],[PRECIO DETAL USD]]*0.8,0)</f>
        <v>6.8000000000000007</v>
      </c>
      <c r="R130" s="68">
        <f>IFERROR([1]!Tabla2[[#This Row],[STOCK]]*[1]!Tabla2[[#This Row],[COSTO]],0)</f>
        <v>10976.400000000001</v>
      </c>
    </row>
    <row r="131" spans="1:18" x14ac:dyDescent="0.35">
      <c r="A131" s="47" t="s">
        <v>380</v>
      </c>
      <c r="B131" s="48"/>
      <c r="C131" s="48"/>
      <c r="D131" s="49"/>
      <c r="E131" s="49"/>
      <c r="F131" s="50"/>
      <c r="G131" s="74" t="s">
        <v>381</v>
      </c>
      <c r="H131" s="60" t="s">
        <v>382</v>
      </c>
      <c r="I131" s="51"/>
      <c r="J131" s="52" t="s">
        <v>368</v>
      </c>
      <c r="K131" s="53"/>
      <c r="L131" s="65"/>
      <c r="M131" s="45">
        <f>SUMIFS([1]!Tabla6[SALIDA],[1]!Tabla6[CODIGO],Tabla29[[#This Row],[CODIGO]])</f>
        <v>59</v>
      </c>
      <c r="N131" s="45">
        <f>SUMIFS([1]!Tabla6[ENTRADA],[1]!Tabla6[CODIGO],Tabla29[[#This Row],[CODIGO]])</f>
        <v>59</v>
      </c>
      <c r="O131" s="45">
        <f>Tabla29[[#This Row],[DISP]]-Tabla29[[#This Row],[SALIDA]]+Tabla29[[#This Row],[ENTRADA]]</f>
        <v>0</v>
      </c>
      <c r="P131" s="66">
        <f>IFERROR(VLOOKUP(Tabla29[[#This Row],[CODIGO]],[1]!Tabla6[[CODIGO]:[PRECIO VENTA]],9,0),0)</f>
        <v>0</v>
      </c>
      <c r="Q131" s="67">
        <f>IFERROR(Tabla29[[#This Row],[PRECIO DETAL USD]]*0.8,0)</f>
        <v>0</v>
      </c>
      <c r="R131" s="68">
        <f>IFERROR([1]!Tabla2[[#This Row],[STOCK]]*[1]!Tabla2[[#This Row],[COSTO]],0)</f>
        <v>211.12</v>
      </c>
    </row>
    <row r="132" spans="1:18" x14ac:dyDescent="0.35">
      <c r="A132" s="47" t="s">
        <v>383</v>
      </c>
      <c r="B132" s="48"/>
      <c r="C132" s="48"/>
      <c r="D132" s="49"/>
      <c r="E132" s="49"/>
      <c r="F132" s="50"/>
      <c r="G132" s="74" t="s">
        <v>384</v>
      </c>
      <c r="H132" s="60" t="s">
        <v>385</v>
      </c>
      <c r="I132" s="51"/>
      <c r="J132" s="52" t="s">
        <v>368</v>
      </c>
      <c r="K132" s="53"/>
      <c r="L132" s="65"/>
      <c r="M132" s="45">
        <f>SUMIFS([1]!Tabla6[SALIDA],[1]!Tabla6[CODIGO],Tabla29[[#This Row],[CODIGO]])</f>
        <v>58</v>
      </c>
      <c r="N132" s="45">
        <f>SUMIFS([1]!Tabla6[ENTRADA],[1]!Tabla6[CODIGO],Tabla29[[#This Row],[CODIGO]])</f>
        <v>58</v>
      </c>
      <c r="O132" s="45">
        <f>Tabla29[[#This Row],[DISP]]-Tabla29[[#This Row],[SALIDA]]+Tabla29[[#This Row],[ENTRADA]]</f>
        <v>0</v>
      </c>
      <c r="P132" s="66">
        <f>IFERROR(VLOOKUP(Tabla29[[#This Row],[CODIGO]],[1]!Tabla6[[CODIGO]:[PRECIO VENTA]],9,0),0)</f>
        <v>0</v>
      </c>
      <c r="Q132" s="67">
        <f>IFERROR(Tabla29[[#This Row],[PRECIO DETAL USD]]*0.8,0)</f>
        <v>0</v>
      </c>
      <c r="R132" s="68">
        <f>IFERROR([1]!Tabla2[[#This Row],[STOCK]]*[1]!Tabla2[[#This Row],[COSTO]],0)</f>
        <v>709.2</v>
      </c>
    </row>
    <row r="133" spans="1:18" x14ac:dyDescent="0.35">
      <c r="A133" s="47" t="s">
        <v>386</v>
      </c>
      <c r="B133" s="56"/>
      <c r="C133" s="56"/>
      <c r="D133" s="57"/>
      <c r="E133" s="57"/>
      <c r="F133" s="58"/>
      <c r="G133" s="59" t="s">
        <v>387</v>
      </c>
      <c r="H133" s="60" t="s">
        <v>388</v>
      </c>
      <c r="I133" s="51"/>
      <c r="J133" s="52" t="s">
        <v>368</v>
      </c>
      <c r="K133" s="53">
        <v>9</v>
      </c>
      <c r="L133" s="64"/>
      <c r="M133" s="45">
        <f>SUMIFS([1]!Tabla6[SALIDA],[1]!Tabla6[CODIGO],Tabla29[[#This Row],[CODIGO]])</f>
        <v>30</v>
      </c>
      <c r="N133" s="45">
        <f>SUMIFS([1]!Tabla6[ENTRADA],[1]!Tabla6[CODIGO],Tabla29[[#This Row],[CODIGO]])</f>
        <v>30</v>
      </c>
      <c r="O133" s="45">
        <f>Tabla29[[#This Row],[DISP]]-Tabla29[[#This Row],[SALIDA]]+Tabla29[[#This Row],[ENTRADA]]</f>
        <v>0</v>
      </c>
      <c r="P133" s="61">
        <f>IFERROR(VLOOKUP(Tabla29[[#This Row],[CODIGO]],[1]!Tabla6[[CODIGO]:[PRECIO VENTA]],9,0),0)</f>
        <v>0</v>
      </c>
      <c r="Q133" s="29">
        <f>IFERROR(Tabla29[[#This Row],[PRECIO DETAL USD]]*0.8,0)</f>
        <v>7.2</v>
      </c>
      <c r="R133" s="30">
        <f>IFERROR([1]!Tabla2[[#This Row],[STOCK]]*[1]!Tabla2[[#This Row],[COSTO]],0)</f>
        <v>2026.96</v>
      </c>
    </row>
    <row r="134" spans="1:18" x14ac:dyDescent="0.35">
      <c r="A134" s="47" t="s">
        <v>389</v>
      </c>
      <c r="B134" s="32" t="s">
        <v>370</v>
      </c>
      <c r="C134" s="32" t="s">
        <v>371</v>
      </c>
      <c r="D134" s="33">
        <v>1</v>
      </c>
      <c r="E134" s="33">
        <v>40</v>
      </c>
      <c r="F134" s="34">
        <v>1</v>
      </c>
      <c r="G134" s="35" t="s">
        <v>390</v>
      </c>
      <c r="H134" s="36" t="s">
        <v>391</v>
      </c>
      <c r="I134" s="37">
        <v>9</v>
      </c>
      <c r="J134" s="43" t="s">
        <v>368</v>
      </c>
      <c r="K134" s="38">
        <v>9.5</v>
      </c>
      <c r="L134" s="44"/>
      <c r="M134" s="39">
        <f>SUMIFS([1]!Tabla6[SALIDA],[1]!Tabla6[CODIGO],Tabla29[[#This Row],[CODIGO]])</f>
        <v>112</v>
      </c>
      <c r="N134" s="39">
        <f>SUMIFS([1]!Tabla6[ENTRADA],[1]!Tabla6[CODIGO],Tabla29[[#This Row],[CODIGO]])</f>
        <v>103</v>
      </c>
      <c r="O134" s="45">
        <f>Tabla29[[#This Row],[DISP]]-Tabla29[[#This Row],[SALIDA]]+Tabla29[[#This Row],[ENTRADA]]</f>
        <v>0</v>
      </c>
      <c r="P134" s="29">
        <f>IFERROR(VLOOKUP(Tabla29[[#This Row],[CODIGO]],[1]!Tabla6[[CODIGO]:[PRECIO VENTA]],9,0),0)</f>
        <v>0</v>
      </c>
      <c r="Q134" s="29">
        <f>IFERROR(Tabla29[[#This Row],[PRECIO DETAL USD]]*0.8,0)</f>
        <v>7.6000000000000005</v>
      </c>
      <c r="R134" s="30">
        <f>IFERROR([1]!Tabla2[[#This Row],[STOCK]]*[1]!Tabla2[[#This Row],[COSTO]],0)</f>
        <v>699.48000000000013</v>
      </c>
    </row>
    <row r="135" spans="1:18" x14ac:dyDescent="0.35">
      <c r="A135" s="47" t="s">
        <v>392</v>
      </c>
      <c r="B135" s="32" t="s">
        <v>370</v>
      </c>
      <c r="C135" s="32" t="s">
        <v>371</v>
      </c>
      <c r="D135" s="33">
        <v>1</v>
      </c>
      <c r="E135" s="33">
        <v>40</v>
      </c>
      <c r="F135" s="34">
        <v>2</v>
      </c>
      <c r="G135" s="35" t="s">
        <v>393</v>
      </c>
      <c r="H135" s="36" t="s">
        <v>394</v>
      </c>
      <c r="I135" s="37">
        <v>25</v>
      </c>
      <c r="J135" s="43" t="s">
        <v>368</v>
      </c>
      <c r="K135" s="38">
        <v>13</v>
      </c>
      <c r="L135" s="44"/>
      <c r="M135" s="39">
        <f>SUMIFS([1]!Tabla6[SALIDA],[1]!Tabla6[CODIGO],Tabla29[[#This Row],[CODIGO]])</f>
        <v>25</v>
      </c>
      <c r="N135" s="39">
        <f>SUMIFS([1]!Tabla6[ENTRADA],[1]!Tabla6[CODIGO],Tabla29[[#This Row],[CODIGO]])</f>
        <v>0</v>
      </c>
      <c r="O135" s="45">
        <f>Tabla29[[#This Row],[DISP]]-Tabla29[[#This Row],[SALIDA]]+Tabla29[[#This Row],[ENTRADA]]</f>
        <v>0</v>
      </c>
      <c r="P135" s="29">
        <f>IFERROR(VLOOKUP(Tabla29[[#This Row],[CODIGO]],[1]!Tabla6[[CODIGO]:[PRECIO VENTA]],9,0),0)</f>
        <v>0</v>
      </c>
      <c r="Q135" s="29">
        <f>IFERROR(Tabla29[[#This Row],[PRECIO DETAL USD]]*0.8,0)</f>
        <v>10.4</v>
      </c>
      <c r="R135" s="30">
        <f>IFERROR([1]!Tabla2[[#This Row],[STOCK]]*[1]!Tabla2[[#This Row],[COSTO]],0)</f>
        <v>12240</v>
      </c>
    </row>
    <row r="136" spans="1:18" x14ac:dyDescent="0.35">
      <c r="A136" s="47" t="s">
        <v>395</v>
      </c>
      <c r="B136" s="75" t="s">
        <v>370</v>
      </c>
      <c r="C136" s="75" t="s">
        <v>371</v>
      </c>
      <c r="D136" s="76">
        <v>1</v>
      </c>
      <c r="E136" s="76">
        <v>40</v>
      </c>
      <c r="F136" s="77">
        <v>3</v>
      </c>
      <c r="G136" s="74" t="s">
        <v>396</v>
      </c>
      <c r="H136" s="78" t="s">
        <v>397</v>
      </c>
      <c r="I136" s="79">
        <v>5</v>
      </c>
      <c r="J136" s="80" t="s">
        <v>368</v>
      </c>
      <c r="K136" s="81">
        <v>14</v>
      </c>
      <c r="L136" s="82"/>
      <c r="M136" s="83">
        <f>SUMIFS([1]!Tabla6[SALIDA],[1]!Tabla6[CODIGO],Tabla29[[#This Row],[CODIGO]])</f>
        <v>5</v>
      </c>
      <c r="N136" s="83">
        <f>SUMIFS([1]!Tabla6[ENTRADA],[1]!Tabla6[CODIGO],Tabla29[[#This Row],[CODIGO]])</f>
        <v>0</v>
      </c>
      <c r="O136" s="84">
        <f>Tabla29[[#This Row],[DISP]]-Tabla29[[#This Row],[SALIDA]]+Tabla29[[#This Row],[ENTRADA]]</f>
        <v>0</v>
      </c>
      <c r="P136" s="85">
        <f>IFERROR(VLOOKUP(Tabla29[[#This Row],[CODIGO]],[1]!Tabla6[[CODIGO]:[PRECIO VENTA]],9,0),0)</f>
        <v>0</v>
      </c>
      <c r="Q136" s="85">
        <f>IFERROR(Tabla29[[#This Row],[PRECIO DETAL USD]]*0.8,0)</f>
        <v>11.200000000000001</v>
      </c>
      <c r="R136" s="86">
        <f>IFERROR([1]!Tabla2[[#This Row],[STOCK]]*[1]!Tabla2[[#This Row],[COSTO]],0)</f>
        <v>1120</v>
      </c>
    </row>
    <row r="137" spans="1:18" ht="18.5" x14ac:dyDescent="0.4">
      <c r="A137" s="41">
        <v>17</v>
      </c>
      <c r="B137" s="20"/>
      <c r="C137" s="21"/>
      <c r="D137" s="22"/>
      <c r="E137" s="22"/>
      <c r="F137" s="22"/>
      <c r="G137" s="23" t="s">
        <v>398</v>
      </c>
      <c r="H137" s="24"/>
      <c r="I137" s="22"/>
      <c r="J137" s="25"/>
      <c r="K137" s="26" t="s">
        <v>20</v>
      </c>
      <c r="L137" s="22"/>
      <c r="M137" s="22"/>
      <c r="N137" s="22"/>
      <c r="O137" s="27" t="s">
        <v>21</v>
      </c>
      <c r="P137" s="28">
        <f>IFERROR(VLOOKUP(Tabla29[[#This Row],[CODIGO]],[1]!Tabla6[[CODIGO]:[PRECIO VENTA]],9,0),0)</f>
        <v>0</v>
      </c>
      <c r="Q137" s="29">
        <f>IFERROR(Tabla29[[#This Row],[PRECIO DETAL USD]]*0.8,0)</f>
        <v>0</v>
      </c>
      <c r="R137" s="30">
        <f>IFERROR([1]!Tabla2[[#This Row],[STOCK]]*[1]!Tabla2[[#This Row],[COSTO]],0)</f>
        <v>0</v>
      </c>
    </row>
    <row r="138" spans="1:18" x14ac:dyDescent="0.35">
      <c r="A138" s="42" t="s">
        <v>399</v>
      </c>
      <c r="B138" s="32" t="s">
        <v>400</v>
      </c>
      <c r="C138" s="32" t="s">
        <v>401</v>
      </c>
      <c r="D138" s="33">
        <v>1</v>
      </c>
      <c r="E138" s="33">
        <v>11</v>
      </c>
      <c r="F138" s="34">
        <v>1</v>
      </c>
      <c r="G138" s="59" t="s">
        <v>402</v>
      </c>
      <c r="H138" s="60" t="s">
        <v>403</v>
      </c>
      <c r="I138" s="37">
        <v>264</v>
      </c>
      <c r="J138" s="43" t="s">
        <v>43</v>
      </c>
      <c r="K138" s="38">
        <v>9.5399999999999991</v>
      </c>
      <c r="L138" s="38">
        <v>8.48</v>
      </c>
      <c r="M138" s="39">
        <f>SUMIFS([1]!Tabla6[SALIDA],[1]!Tabla6[CODIGO],Tabla29[[#This Row],[CODIGO]])</f>
        <v>99</v>
      </c>
      <c r="N138" s="39">
        <f>SUMIFS([1]!Tabla6[ENTRADA],[1]!Tabla6[CODIGO],Tabla29[[#This Row],[CODIGO]])</f>
        <v>0</v>
      </c>
      <c r="O138" s="39">
        <f>Tabla29[[#This Row],[DISP]]-Tabla29[[#This Row],[SALIDA]]+Tabla29[[#This Row],[ENTRADA]]</f>
        <v>165</v>
      </c>
      <c r="P138" s="29">
        <f>IFERROR(VLOOKUP(Tabla29[[#This Row],[CODIGO]],[1]!Tabla6[[CODIGO]:[PRECIO VENTA]],9,0),0)</f>
        <v>0</v>
      </c>
      <c r="Q138" s="29">
        <f>IFERROR(Tabla29[[#This Row],[PRECIO DETAL USD]]*0.8,0)</f>
        <v>7.6319999999999997</v>
      </c>
      <c r="R138" s="30">
        <f>IFERROR([1]!Tabla2[[#This Row],[STOCK]]*[1]!Tabla2[[#This Row],[COSTO]],0)</f>
        <v>16.8</v>
      </c>
    </row>
    <row r="139" spans="1:18" x14ac:dyDescent="0.35">
      <c r="A139" s="42" t="s">
        <v>404</v>
      </c>
      <c r="B139" s="56"/>
      <c r="C139" s="56"/>
      <c r="D139" s="57"/>
      <c r="E139" s="57"/>
      <c r="F139" s="58"/>
      <c r="G139" s="59" t="s">
        <v>405</v>
      </c>
      <c r="H139" s="60" t="s">
        <v>406</v>
      </c>
      <c r="I139" s="51"/>
      <c r="J139" s="52" t="s">
        <v>43</v>
      </c>
      <c r="K139" s="53">
        <v>10.25</v>
      </c>
      <c r="L139" s="64"/>
      <c r="M139" s="45">
        <f>SUMIFS([1]!Tabla6[SALIDA],[1]!Tabla6[CODIGO],Tabla29[[#This Row],[CODIGO]])</f>
        <v>56.67</v>
      </c>
      <c r="N139" s="45">
        <f>SUMIFS([1]!Tabla6[ENTRADA],[1]!Tabla6[CODIGO],Tabla29[[#This Row],[CODIGO]])</f>
        <v>100</v>
      </c>
      <c r="O139" s="39">
        <f>Tabla29[[#This Row],[DISP]]-Tabla29[[#This Row],[SALIDA]]+Tabla29[[#This Row],[ENTRADA]]</f>
        <v>43.33</v>
      </c>
      <c r="P139" s="61">
        <f>IFERROR(VLOOKUP(Tabla29[[#This Row],[CODIGO]],[1]!Tabla6[[CODIGO]:[PRECIO VENTA]],9,0),0)</f>
        <v>9.7108433734939776</v>
      </c>
      <c r="Q139" s="29">
        <f>IFERROR(Tabla29[[#This Row],[PRECIO DETAL USD]]*0.8,0)</f>
        <v>8.2000000000000011</v>
      </c>
      <c r="R139" s="30">
        <f>IFERROR([1]!Tabla2[[#This Row],[STOCK]]*[1]!Tabla2[[#This Row],[COSTO]],0)</f>
        <v>0</v>
      </c>
    </row>
    <row r="140" spans="1:18" x14ac:dyDescent="0.35">
      <c r="A140" s="42" t="s">
        <v>407</v>
      </c>
      <c r="B140" s="48"/>
      <c r="C140" s="48"/>
      <c r="D140" s="49"/>
      <c r="E140" s="49"/>
      <c r="F140" s="50"/>
      <c r="G140" s="59" t="s">
        <v>408</v>
      </c>
      <c r="H140" s="60" t="s">
        <v>409</v>
      </c>
      <c r="I140" s="51"/>
      <c r="J140" s="52" t="s">
        <v>43</v>
      </c>
      <c r="K140" s="53">
        <v>10.57</v>
      </c>
      <c r="L140" s="65"/>
      <c r="M140" s="45">
        <f>SUMIFS([1]!Tabla6[SALIDA],[1]!Tabla6[CODIGO],Tabla29[[#This Row],[CODIGO]])</f>
        <v>10</v>
      </c>
      <c r="N140" s="45">
        <f>SUMIFS([1]!Tabla6[ENTRADA],[1]!Tabla6[CODIGO],Tabla29[[#This Row],[CODIGO]])</f>
        <v>270</v>
      </c>
      <c r="O140" s="45">
        <f>Tabla29[[#This Row],[DISP]]-Tabla29[[#This Row],[SALIDA]]+Tabla29[[#This Row],[ENTRADA]]</f>
        <v>260</v>
      </c>
      <c r="P140" s="66">
        <f>IFERROR(VLOOKUP(Tabla29[[#This Row],[CODIGO]],[1]!Tabla6[[CODIGO]:[PRECIO VENTA]],9,0),0)</f>
        <v>0</v>
      </c>
      <c r="Q140" s="67">
        <f>IFERROR(Tabla29[[#This Row],[PRECIO DETAL USD]]*0.8,0)</f>
        <v>8.4560000000000013</v>
      </c>
      <c r="R140" s="68">
        <f>IFERROR([1]!Tabla2[[#This Row],[STOCK]]*[1]!Tabla2[[#This Row],[COSTO]],0)</f>
        <v>0</v>
      </c>
    </row>
    <row r="141" spans="1:18" x14ac:dyDescent="0.35">
      <c r="A141" s="42" t="s">
        <v>410</v>
      </c>
      <c r="B141" s="56"/>
      <c r="C141" s="56"/>
      <c r="D141" s="57"/>
      <c r="E141" s="57"/>
      <c r="F141" s="58"/>
      <c r="G141" s="59" t="s">
        <v>411</v>
      </c>
      <c r="H141" s="60" t="s">
        <v>412</v>
      </c>
      <c r="I141" s="51"/>
      <c r="J141" s="52" t="s">
        <v>43</v>
      </c>
      <c r="K141" s="53">
        <v>16.91</v>
      </c>
      <c r="L141" s="64"/>
      <c r="M141" s="45">
        <f>SUMIFS([1]!Tabla6[SALIDA],[1]!Tabla6[CODIGO],Tabla29[[#This Row],[CODIGO]])</f>
        <v>21</v>
      </c>
      <c r="N141" s="45">
        <f>SUMIFS([1]!Tabla6[ENTRADA],[1]!Tabla6[CODIGO],Tabla29[[#This Row],[CODIGO]])</f>
        <v>100</v>
      </c>
      <c r="O141" s="39">
        <f>Tabla29[[#This Row],[DISP]]-Tabla29[[#This Row],[SALIDA]]+Tabla29[[#This Row],[ENTRADA]]</f>
        <v>79</v>
      </c>
      <c r="P141" s="61">
        <f>IFERROR(VLOOKUP(Tabla29[[#This Row],[CODIGO]],[1]!Tabla6[[CODIGO]:[PRECIO VENTA]],9,0),0)</f>
        <v>15.963855421686748</v>
      </c>
      <c r="Q141" s="29">
        <f>IFERROR(Tabla29[[#This Row],[PRECIO DETAL USD]]*0.8,0)</f>
        <v>13.528</v>
      </c>
      <c r="R141" s="30">
        <f>IFERROR([1]!Tabla2[[#This Row],[STOCK]]*[1]!Tabla2[[#This Row],[COSTO]],0)</f>
        <v>0</v>
      </c>
    </row>
    <row r="142" spans="1:18" x14ac:dyDescent="0.35">
      <c r="A142" s="42" t="s">
        <v>413</v>
      </c>
      <c r="B142" s="32" t="s">
        <v>400</v>
      </c>
      <c r="C142" s="32" t="s">
        <v>401</v>
      </c>
      <c r="D142" s="33">
        <v>1</v>
      </c>
      <c r="E142" s="33">
        <v>11</v>
      </c>
      <c r="F142" s="34">
        <v>2</v>
      </c>
      <c r="G142" s="59" t="s">
        <v>414</v>
      </c>
      <c r="H142" s="60" t="s">
        <v>415</v>
      </c>
      <c r="I142" s="37">
        <v>10</v>
      </c>
      <c r="J142" s="43" t="s">
        <v>43</v>
      </c>
      <c r="K142" s="38">
        <v>22.26</v>
      </c>
      <c r="L142" s="44"/>
      <c r="M142" s="39">
        <f>SUMIFS([1]!Tabla6[SALIDA],[1]!Tabla6[CODIGO],Tabla29[[#This Row],[CODIGO]])</f>
        <v>4</v>
      </c>
      <c r="N142" s="39">
        <f>SUMIFS([1]!Tabla6[ENTRADA],[1]!Tabla6[CODIGO],Tabla29[[#This Row],[CODIGO]])</f>
        <v>100</v>
      </c>
      <c r="O142" s="39">
        <f>Tabla29[[#This Row],[DISP]]-Tabla29[[#This Row],[SALIDA]]+Tabla29[[#This Row],[ENTRADA]]</f>
        <v>106</v>
      </c>
      <c r="P142" s="29">
        <f>IFERROR(VLOOKUP(Tabla29[[#This Row],[CODIGO]],[1]!Tabla6[[CODIGO]:[PRECIO VENTA]],9,0),0)</f>
        <v>0</v>
      </c>
      <c r="Q142" s="29">
        <f>IFERROR(Tabla29[[#This Row],[PRECIO DETAL USD]]*0.8,0)</f>
        <v>17.808000000000003</v>
      </c>
      <c r="R142" s="30">
        <f>IFERROR([1]!Tabla2[[#This Row],[STOCK]]*[1]!Tabla2[[#This Row],[COSTO]],0)</f>
        <v>0</v>
      </c>
    </row>
    <row r="143" spans="1:18" x14ac:dyDescent="0.35">
      <c r="A143" s="42" t="s">
        <v>416</v>
      </c>
      <c r="B143" s="32" t="s">
        <v>400</v>
      </c>
      <c r="C143" s="32" t="s">
        <v>401</v>
      </c>
      <c r="D143" s="33">
        <v>1</v>
      </c>
      <c r="E143" s="33">
        <v>11</v>
      </c>
      <c r="F143" s="34">
        <v>3</v>
      </c>
      <c r="G143" s="59" t="s">
        <v>417</v>
      </c>
      <c r="H143" s="60" t="s">
        <v>418</v>
      </c>
      <c r="I143" s="37">
        <v>11</v>
      </c>
      <c r="J143" s="43" t="s">
        <v>43</v>
      </c>
      <c r="K143" s="38">
        <v>21.2</v>
      </c>
      <c r="L143" s="44"/>
      <c r="M143" s="39">
        <f>SUMIFS([1]!Tabla6[SALIDA],[1]!Tabla6[CODIGO],Tabla29[[#This Row],[CODIGO]])</f>
        <v>38</v>
      </c>
      <c r="N143" s="39">
        <f>SUMIFS([1]!Tabla6[ENTRADA],[1]!Tabla6[CODIGO],Tabla29[[#This Row],[CODIGO]])</f>
        <v>31</v>
      </c>
      <c r="O143" s="39">
        <f>Tabla29[[#This Row],[DISP]]-Tabla29[[#This Row],[SALIDA]]+Tabla29[[#This Row],[ENTRADA]]</f>
        <v>4</v>
      </c>
      <c r="P143" s="29">
        <f>IFERROR(VLOOKUP(Tabla29[[#This Row],[CODIGO]],[1]!Tabla6[[CODIGO]:[PRECIO VENTA]],9,0),0)</f>
        <v>0</v>
      </c>
      <c r="Q143" s="29">
        <f>IFERROR(Tabla29[[#This Row],[PRECIO DETAL USD]]*0.8,0)</f>
        <v>16.96</v>
      </c>
      <c r="R143" s="30">
        <f>IFERROR([1]!Tabla2[[#This Row],[STOCK]]*[1]!Tabla2[[#This Row],[COSTO]],0)</f>
        <v>0</v>
      </c>
    </row>
    <row r="144" spans="1:18" hidden="1" x14ac:dyDescent="0.35">
      <c r="A144" s="42" t="s">
        <v>419</v>
      </c>
      <c r="B144" s="32" t="s">
        <v>400</v>
      </c>
      <c r="C144" s="32" t="s">
        <v>401</v>
      </c>
      <c r="D144" s="33">
        <v>1</v>
      </c>
      <c r="E144" s="33">
        <v>11</v>
      </c>
      <c r="F144" s="34">
        <v>4</v>
      </c>
      <c r="G144" s="35" t="s">
        <v>420</v>
      </c>
      <c r="H144" s="36" t="s">
        <v>421</v>
      </c>
      <c r="I144" s="37">
        <v>20</v>
      </c>
      <c r="J144" s="43" t="s">
        <v>43</v>
      </c>
      <c r="K144" s="38">
        <v>35.99</v>
      </c>
      <c r="L144" s="44"/>
      <c r="M144" s="39">
        <f>SUMIFS([1]!Tabla6[SALIDA],[1]!Tabla6[CODIGO],Tabla29[[#This Row],[CODIGO]])</f>
        <v>22</v>
      </c>
      <c r="N144" s="39">
        <f>SUMIFS([1]!Tabla6[ENTRADA],[1]!Tabla6[CODIGO],Tabla29[[#This Row],[CODIGO]])</f>
        <v>2</v>
      </c>
      <c r="O144" s="39">
        <f>Tabla29[[#This Row],[DISP]]-Tabla29[[#This Row],[SALIDA]]+Tabla29[[#This Row],[ENTRADA]]</f>
        <v>0</v>
      </c>
      <c r="P144" s="29">
        <f>IFERROR(VLOOKUP(Tabla29[[#This Row],[CODIGO]],[1]!Tabla6[[CODIGO]:[PRECIO VENTA]],9,0),0)</f>
        <v>0</v>
      </c>
      <c r="Q144" s="29">
        <f>IFERROR(Tabla29[[#This Row],[PRECIO DETAL USD]]*0.8,0)</f>
        <v>28.792000000000002</v>
      </c>
      <c r="R144" s="30">
        <f>IFERROR([1]!Tabla2[[#This Row],[STOCK]]*[1]!Tabla2[[#This Row],[COSTO]],0)</f>
        <v>0</v>
      </c>
    </row>
    <row r="145" spans="1:18" hidden="1" x14ac:dyDescent="0.35">
      <c r="A145" s="42" t="s">
        <v>422</v>
      </c>
      <c r="B145" s="32" t="s">
        <v>400</v>
      </c>
      <c r="C145" s="32" t="s">
        <v>401</v>
      </c>
      <c r="D145" s="33">
        <v>1</v>
      </c>
      <c r="E145" s="33">
        <v>11</v>
      </c>
      <c r="F145" s="34">
        <v>5</v>
      </c>
      <c r="G145" s="35" t="s">
        <v>423</v>
      </c>
      <c r="H145" s="36" t="s">
        <v>424</v>
      </c>
      <c r="I145" s="37">
        <v>0</v>
      </c>
      <c r="J145" s="43" t="s">
        <v>43</v>
      </c>
      <c r="K145" s="38">
        <v>45</v>
      </c>
      <c r="L145" s="44"/>
      <c r="M145" s="39">
        <f>SUMIFS([1]!Tabla6[SALIDA],[1]!Tabla6[CODIGO],Tabla29[[#This Row],[CODIGO]])</f>
        <v>0</v>
      </c>
      <c r="N145" s="39">
        <f>SUMIFS([1]!Tabla6[ENTRADA],[1]!Tabla6[CODIGO],Tabla29[[#This Row],[CODIGO]])</f>
        <v>0</v>
      </c>
      <c r="O145" s="39">
        <f>Tabla29[[#This Row],[DISP]]-Tabla29[[#This Row],[SALIDA]]+Tabla29[[#This Row],[ENTRADA]]</f>
        <v>0</v>
      </c>
      <c r="P145" s="29">
        <f>IFERROR(VLOOKUP(Tabla29[[#This Row],[CODIGO]],[1]!Tabla6[[CODIGO]:[PRECIO VENTA]],9,0),0)</f>
        <v>0</v>
      </c>
      <c r="Q145" s="29">
        <f>IFERROR(Tabla29[[#This Row],[PRECIO DETAL USD]]*0.8,0)</f>
        <v>36</v>
      </c>
      <c r="R145" s="30">
        <f>IFERROR([1]!Tabla2[[#This Row],[STOCK]]*[1]!Tabla2[[#This Row],[COSTO]],0)</f>
        <v>0</v>
      </c>
    </row>
    <row r="146" spans="1:18" x14ac:dyDescent="0.35">
      <c r="A146" s="42" t="s">
        <v>425</v>
      </c>
      <c r="B146" s="48"/>
      <c r="C146" s="48"/>
      <c r="D146" s="49"/>
      <c r="E146" s="49"/>
      <c r="F146" s="50"/>
      <c r="G146" s="59" t="s">
        <v>426</v>
      </c>
      <c r="H146" s="60" t="s">
        <v>427</v>
      </c>
      <c r="I146" s="51"/>
      <c r="J146" s="52" t="s">
        <v>43</v>
      </c>
      <c r="K146" s="53">
        <v>112.59</v>
      </c>
      <c r="L146" s="65"/>
      <c r="M146" s="45">
        <f>SUMIFS([1]!Tabla6[SALIDA],[1]!Tabla6[CODIGO],Tabla29[[#This Row],[CODIGO]])</f>
        <v>35</v>
      </c>
      <c r="N146" s="45">
        <f>SUMIFS([1]!Tabla6[ENTRADA],[1]!Tabla6[CODIGO],Tabla29[[#This Row],[CODIGO]])</f>
        <v>140</v>
      </c>
      <c r="O146" s="39">
        <f>Tabla29[[#This Row],[DISP]]-Tabla29[[#This Row],[SALIDA]]+Tabla29[[#This Row],[ENTRADA]]</f>
        <v>105</v>
      </c>
      <c r="P146" s="66">
        <f>IFERROR(VLOOKUP(Tabla29[[#This Row],[CODIGO]],[1]!Tabla6[[CODIGO]:[PRECIO VENTA]],9,0),0)</f>
        <v>0</v>
      </c>
      <c r="Q146" s="67">
        <f>IFERROR(Tabla29[[#This Row],[PRECIO DETAL USD]]*0.8,0)</f>
        <v>90.072000000000003</v>
      </c>
      <c r="R146" s="70">
        <f>IFERROR([1]!Tabla2[[#This Row],[STOCK]]*[1]!Tabla2[[#This Row],[COSTO]],0)</f>
        <v>0</v>
      </c>
    </row>
    <row r="147" spans="1:18" x14ac:dyDescent="0.35">
      <c r="A147" s="42" t="s">
        <v>428</v>
      </c>
      <c r="B147" s="48"/>
      <c r="C147" s="48"/>
      <c r="D147" s="49"/>
      <c r="E147" s="49"/>
      <c r="F147" s="50"/>
      <c r="G147" s="59" t="s">
        <v>429</v>
      </c>
      <c r="H147" s="60" t="s">
        <v>430</v>
      </c>
      <c r="I147" s="51"/>
      <c r="J147" s="52" t="s">
        <v>43</v>
      </c>
      <c r="K147" s="53">
        <v>77.25</v>
      </c>
      <c r="L147" s="65"/>
      <c r="M147" s="45">
        <f>SUMIFS([1]!Tabla6[SALIDA],[1]!Tabla6[CODIGO],Tabla29[[#This Row],[CODIGO]])</f>
        <v>0</v>
      </c>
      <c r="N147" s="45">
        <f>SUMIFS([1]!Tabla6[ENTRADA],[1]!Tabla6[CODIGO],Tabla29[[#This Row],[CODIGO]])</f>
        <v>1</v>
      </c>
      <c r="O147" s="39">
        <f>Tabla29[[#This Row],[DISP]]-Tabla29[[#This Row],[SALIDA]]+Tabla29[[#This Row],[ENTRADA]]</f>
        <v>1</v>
      </c>
      <c r="P147" s="66">
        <f>IFERROR(VLOOKUP(Tabla29[[#This Row],[CODIGO]],[1]!Tabla6[[CODIGO]:[PRECIO VENTA]],9,0),0)</f>
        <v>0</v>
      </c>
      <c r="Q147" s="67">
        <f>IFERROR(Tabla29[[#This Row],[PRECIO DETAL USD]]*0.8,0)</f>
        <v>61.800000000000004</v>
      </c>
      <c r="R147" s="70">
        <f>IFERROR([1]!Tabla2[[#This Row],[STOCK]]*[1]!Tabla2[[#This Row],[COSTO]],0)</f>
        <v>0</v>
      </c>
    </row>
    <row r="148" spans="1:18" x14ac:dyDescent="0.35">
      <c r="A148" s="42" t="s">
        <v>431</v>
      </c>
      <c r="B148" s="32" t="s">
        <v>400</v>
      </c>
      <c r="C148" s="32" t="s">
        <v>401</v>
      </c>
      <c r="D148" s="33">
        <v>1</v>
      </c>
      <c r="E148" s="33">
        <v>11</v>
      </c>
      <c r="F148" s="34">
        <v>6</v>
      </c>
      <c r="G148" s="59" t="s">
        <v>432</v>
      </c>
      <c r="H148" s="60" t="s">
        <v>433</v>
      </c>
      <c r="I148" s="37">
        <v>23</v>
      </c>
      <c r="J148" s="43" t="s">
        <v>43</v>
      </c>
      <c r="K148" s="38">
        <v>136.74</v>
      </c>
      <c r="L148" s="44"/>
      <c r="M148" s="39">
        <f>SUMIFS([1]!Tabla6[SALIDA],[1]!Tabla6[CODIGO],Tabla29[[#This Row],[CODIGO]])</f>
        <v>0</v>
      </c>
      <c r="N148" s="39">
        <f>SUMIFS([1]!Tabla6[ENTRADA],[1]!Tabla6[CODIGO],Tabla29[[#This Row],[CODIGO]])</f>
        <v>0</v>
      </c>
      <c r="O148" s="39">
        <f>Tabla29[[#This Row],[DISP]]-Tabla29[[#This Row],[SALIDA]]+Tabla29[[#This Row],[ENTRADA]]</f>
        <v>23</v>
      </c>
      <c r="P148" s="29">
        <f>IFERROR(VLOOKUP(Tabla29[[#This Row],[CODIGO]],[1]!Tabla6[[CODIGO]:[PRECIO VENTA]],9,0),0)</f>
        <v>0</v>
      </c>
      <c r="Q148" s="29">
        <f>IFERROR(Tabla29[[#This Row],[PRECIO DETAL USD]]*0.8,0)</f>
        <v>109.39200000000001</v>
      </c>
      <c r="R148" s="30">
        <f>IFERROR([1]!Tabla2[[#This Row],[STOCK]]*[1]!Tabla2[[#This Row],[COSTO]],0)</f>
        <v>0</v>
      </c>
    </row>
    <row r="149" spans="1:18" hidden="1" x14ac:dyDescent="0.35">
      <c r="A149" s="42" t="s">
        <v>434</v>
      </c>
      <c r="B149" s="56"/>
      <c r="C149" s="56"/>
      <c r="D149" s="57"/>
      <c r="E149" s="57"/>
      <c r="F149" s="58"/>
      <c r="G149" s="35" t="s">
        <v>435</v>
      </c>
      <c r="H149" s="36" t="s">
        <v>436</v>
      </c>
      <c r="I149" s="51"/>
      <c r="J149" s="52" t="s">
        <v>43</v>
      </c>
      <c r="K149" s="53">
        <v>46</v>
      </c>
      <c r="L149" s="64"/>
      <c r="M149" s="45">
        <f>SUMIFS([1]!Tabla6[SALIDA],[1]!Tabla6[CODIGO],Tabla29[[#This Row],[CODIGO]])</f>
        <v>22</v>
      </c>
      <c r="N149" s="45">
        <f>SUMIFS([1]!Tabla6[ENTRADA],[1]!Tabla6[CODIGO],Tabla29[[#This Row],[CODIGO]])</f>
        <v>22</v>
      </c>
      <c r="O149" s="39">
        <f>Tabla29[[#This Row],[DISP]]-Tabla29[[#This Row],[SALIDA]]+Tabla29[[#This Row],[ENTRADA]]</f>
        <v>0</v>
      </c>
      <c r="P149" s="61">
        <f>IFERROR(VLOOKUP(Tabla29[[#This Row],[CODIGO]],[1]!Tabla6[[CODIGO]:[PRECIO VENTA]],9,0),0)</f>
        <v>0</v>
      </c>
      <c r="Q149" s="29">
        <f>IFERROR(Tabla29[[#This Row],[PRECIO DETAL USD]]*0.8,0)</f>
        <v>36.800000000000004</v>
      </c>
      <c r="R149" s="30">
        <f>IFERROR([1]!Tabla2[[#This Row],[STOCK]]*[1]!Tabla2[[#This Row],[COSTO]],0)</f>
        <v>0</v>
      </c>
    </row>
    <row r="150" spans="1:18" ht="18.5" x14ac:dyDescent="0.4">
      <c r="A150" s="41">
        <v>18</v>
      </c>
      <c r="B150" s="20"/>
      <c r="C150" s="21"/>
      <c r="D150" s="22"/>
      <c r="E150" s="22"/>
      <c r="F150" s="22"/>
      <c r="G150" s="23" t="s">
        <v>437</v>
      </c>
      <c r="H150" s="24"/>
      <c r="I150" s="22"/>
      <c r="J150" s="25"/>
      <c r="K150" s="26" t="s">
        <v>20</v>
      </c>
      <c r="L150" s="22"/>
      <c r="M150" s="22"/>
      <c r="N150" s="22"/>
      <c r="O150" s="27">
        <f>Tabla29[[#This Row],[DISP]]-Tabla29[[#This Row],[SALIDA]]+Tabla29[[#This Row],[ENTRADA]]</f>
        <v>0</v>
      </c>
      <c r="P150" s="28">
        <f>IFERROR(VLOOKUP(Tabla29[[#This Row],[CODIGO]],[1]!Tabla6[[CODIGO]:[PRECIO VENTA]],9,0),0)</f>
        <v>0</v>
      </c>
      <c r="Q150" s="29">
        <f>IFERROR(Tabla29[[#This Row],[PRECIO DETAL USD]]*0.8,0)</f>
        <v>0</v>
      </c>
      <c r="R150" s="30">
        <f>IFERROR([1]!Tabla2[[#This Row],[STOCK]]*[1]!Tabla2[[#This Row],[COSTO]],0)</f>
        <v>5599.9999999999991</v>
      </c>
    </row>
    <row r="151" spans="1:18" x14ac:dyDescent="0.35">
      <c r="A151" s="42" t="s">
        <v>438</v>
      </c>
      <c r="B151" s="32" t="s">
        <v>439</v>
      </c>
      <c r="C151" s="32" t="s">
        <v>401</v>
      </c>
      <c r="D151" s="33">
        <v>1</v>
      </c>
      <c r="E151" s="33">
        <v>12</v>
      </c>
      <c r="F151" s="34">
        <v>4</v>
      </c>
      <c r="G151" s="59" t="s">
        <v>440</v>
      </c>
      <c r="H151" s="60" t="s">
        <v>441</v>
      </c>
      <c r="I151" s="37">
        <v>16</v>
      </c>
      <c r="J151" s="43" t="s">
        <v>43</v>
      </c>
      <c r="K151" s="38">
        <v>4.13</v>
      </c>
      <c r="L151" s="44"/>
      <c r="M151" s="39">
        <f>SUMIFS([1]!Tabla6[SALIDA],[1]!Tabla6[CODIGO],Tabla29[[#This Row],[CODIGO]])</f>
        <v>19</v>
      </c>
      <c r="N151" s="39">
        <f>SUMIFS([1]!Tabla6[ENTRADA],[1]!Tabla6[CODIGO],Tabla29[[#This Row],[CODIGO]])</f>
        <v>3</v>
      </c>
      <c r="O151" s="39">
        <f>Tabla29[[#This Row],[DISP]]-Tabla29[[#This Row],[SALIDA]]+Tabla29[[#This Row],[ENTRADA]]</f>
        <v>0</v>
      </c>
      <c r="P151" s="29">
        <f>IFERROR(VLOOKUP(Tabla29[[#This Row],[CODIGO]],[1]!Tabla6[[CODIGO]:[PRECIO VENTA]],9,0),0)</f>
        <v>0</v>
      </c>
      <c r="Q151" s="29">
        <f>IFERROR(Tabla29[[#This Row],[PRECIO DETAL USD]]*0.8,0)</f>
        <v>3.3040000000000003</v>
      </c>
      <c r="R151" s="30">
        <f>IFERROR([1]!Tabla2[[#This Row],[STOCK]]*[1]!Tabla2[[#This Row],[COSTO]],0)</f>
        <v>18000</v>
      </c>
    </row>
    <row r="152" spans="1:18" x14ac:dyDescent="0.35">
      <c r="A152" s="42" t="s">
        <v>442</v>
      </c>
      <c r="B152" s="32" t="s">
        <v>439</v>
      </c>
      <c r="C152" s="32" t="s">
        <v>401</v>
      </c>
      <c r="D152" s="33">
        <v>1</v>
      </c>
      <c r="E152" s="33">
        <v>12</v>
      </c>
      <c r="F152" s="34">
        <v>3</v>
      </c>
      <c r="G152" s="59" t="s">
        <v>443</v>
      </c>
      <c r="H152" s="60" t="s">
        <v>444</v>
      </c>
      <c r="I152" s="37">
        <v>22</v>
      </c>
      <c r="J152" s="43" t="s">
        <v>43</v>
      </c>
      <c r="K152" s="38">
        <v>7.43</v>
      </c>
      <c r="L152" s="44"/>
      <c r="M152" s="39">
        <f>SUMIFS([1]!Tabla6[SALIDA],[1]!Tabla6[CODIGO],Tabla29[[#This Row],[CODIGO]])</f>
        <v>69</v>
      </c>
      <c r="N152" s="39">
        <f>SUMIFS([1]!Tabla6[ENTRADA],[1]!Tabla6[CODIGO],Tabla29[[#This Row],[CODIGO]])</f>
        <v>199</v>
      </c>
      <c r="O152" s="39">
        <f>Tabla29[[#This Row],[DISP]]-Tabla29[[#This Row],[SALIDA]]+Tabla29[[#This Row],[ENTRADA]]</f>
        <v>152</v>
      </c>
      <c r="P152" s="29">
        <f>IFERROR(VLOOKUP(Tabla29[[#This Row],[CODIGO]],[1]!Tabla6[[CODIGO]:[PRECIO VENTA]],9,0),0)</f>
        <v>0</v>
      </c>
      <c r="Q152" s="29">
        <f>IFERROR(Tabla29[[#This Row],[PRECIO DETAL USD]]*0.8,0)</f>
        <v>5.944</v>
      </c>
      <c r="R152" s="30">
        <f>IFERROR([1]!Tabla2[[#This Row],[STOCK]]*[1]!Tabla2[[#This Row],[COSTO]],0)</f>
        <v>24800.000000000004</v>
      </c>
    </row>
    <row r="153" spans="1:18" x14ac:dyDescent="0.35">
      <c r="A153" s="42" t="s">
        <v>445</v>
      </c>
      <c r="B153" s="48"/>
      <c r="C153" s="48"/>
      <c r="D153" s="49"/>
      <c r="E153" s="49"/>
      <c r="F153" s="50"/>
      <c r="G153" s="59" t="s">
        <v>446</v>
      </c>
      <c r="H153" s="60" t="s">
        <v>447</v>
      </c>
      <c r="I153" s="51"/>
      <c r="J153" s="52" t="s">
        <v>43</v>
      </c>
      <c r="K153" s="53">
        <v>10.49</v>
      </c>
      <c r="L153" s="65"/>
      <c r="M153" s="45">
        <f>SUMIFS([1]!Tabla6[SALIDA],[1]!Tabla6[CODIGO],Tabla29[[#This Row],[CODIGO]])</f>
        <v>22</v>
      </c>
      <c r="N153" s="45">
        <f>SUMIFS([1]!Tabla6[ENTRADA],[1]!Tabla6[CODIGO],Tabla29[[#This Row],[CODIGO]])</f>
        <v>300</v>
      </c>
      <c r="O153" s="39">
        <f>Tabla29[[#This Row],[DISP]]-Tabla29[[#This Row],[SALIDA]]+Tabla29[[#This Row],[ENTRADA]]</f>
        <v>278</v>
      </c>
      <c r="P153" s="66">
        <f>IFERROR(VLOOKUP(Tabla29[[#This Row],[CODIGO]],[1]!Tabla6[[CODIGO]:[PRECIO VENTA]],9,0),0)</f>
        <v>0</v>
      </c>
      <c r="Q153" s="67">
        <f>IFERROR(Tabla29[[#This Row],[PRECIO DETAL USD]]*0.8,0)</f>
        <v>8.3920000000000012</v>
      </c>
      <c r="R153" s="70">
        <f>IFERROR([1]!Tabla2[[#This Row],[STOCK]]*[1]!Tabla2[[#This Row],[COSTO]],0)</f>
        <v>108274.24000000001</v>
      </c>
    </row>
    <row r="154" spans="1:18" x14ac:dyDescent="0.35">
      <c r="A154" s="42" t="s">
        <v>448</v>
      </c>
      <c r="B154" s="32" t="s">
        <v>439</v>
      </c>
      <c r="C154" s="32" t="s">
        <v>401</v>
      </c>
      <c r="D154" s="33">
        <v>1</v>
      </c>
      <c r="E154" s="33">
        <v>12</v>
      </c>
      <c r="F154" s="34">
        <v>1</v>
      </c>
      <c r="G154" s="59" t="s">
        <v>449</v>
      </c>
      <c r="H154" s="60" t="s">
        <v>450</v>
      </c>
      <c r="I154" s="37">
        <v>78</v>
      </c>
      <c r="J154" s="43" t="s">
        <v>43</v>
      </c>
      <c r="K154" s="38">
        <v>12.56</v>
      </c>
      <c r="L154" s="44"/>
      <c r="M154" s="39">
        <f>SUMIFS([1]!Tabla6[SALIDA],[1]!Tabla6[CODIGO],Tabla29[[#This Row],[CODIGO]])</f>
        <v>178</v>
      </c>
      <c r="N154" s="39">
        <f>SUMIFS([1]!Tabla6[ENTRADA],[1]!Tabla6[CODIGO],Tabla29[[#This Row],[CODIGO]])</f>
        <v>100</v>
      </c>
      <c r="O154" s="39">
        <f>Tabla29[[#This Row],[DISP]]-Tabla29[[#This Row],[SALIDA]]+Tabla29[[#This Row],[ENTRADA]]</f>
        <v>0</v>
      </c>
      <c r="P154" s="29">
        <f>IFERROR(VLOOKUP(Tabla29[[#This Row],[CODIGO]],[1]!Tabla6[[CODIGO]:[PRECIO VENTA]],9,0),0)</f>
        <v>0</v>
      </c>
      <c r="Q154" s="29">
        <f>IFERROR(Tabla29[[#This Row],[PRECIO DETAL USD]]*0.8,0)</f>
        <v>10.048000000000002</v>
      </c>
      <c r="R154" s="30">
        <f>IFERROR([1]!Tabla2[[#This Row],[STOCK]]*[1]!Tabla2[[#This Row],[COSTO]],0)</f>
        <v>223.99999999999997</v>
      </c>
    </row>
    <row r="155" spans="1:18" x14ac:dyDescent="0.35">
      <c r="A155" s="42" t="s">
        <v>451</v>
      </c>
      <c r="B155" s="32" t="s">
        <v>439</v>
      </c>
      <c r="C155" s="32" t="s">
        <v>401</v>
      </c>
      <c r="D155" s="33">
        <v>1</v>
      </c>
      <c r="E155" s="33">
        <v>12</v>
      </c>
      <c r="F155" s="34">
        <v>2</v>
      </c>
      <c r="G155" s="59" t="s">
        <v>452</v>
      </c>
      <c r="H155" s="60" t="s">
        <v>453</v>
      </c>
      <c r="I155" s="37">
        <v>15</v>
      </c>
      <c r="J155" s="43" t="s">
        <v>43</v>
      </c>
      <c r="K155" s="38">
        <v>15.04</v>
      </c>
      <c r="L155" s="44"/>
      <c r="M155" s="39">
        <f>SUMIFS([1]!Tabla6[SALIDA],[1]!Tabla6[CODIGO],Tabla29[[#This Row],[CODIGO]])</f>
        <v>2</v>
      </c>
      <c r="N155" s="39">
        <f>SUMIFS([1]!Tabla6[ENTRADA],[1]!Tabla6[CODIGO],Tabla29[[#This Row],[CODIGO]])</f>
        <v>0</v>
      </c>
      <c r="O155" s="39">
        <f>Tabla29[[#This Row],[DISP]]-Tabla29[[#This Row],[SALIDA]]+Tabla29[[#This Row],[ENTRADA]]</f>
        <v>13</v>
      </c>
      <c r="P155" s="29">
        <f>IFERROR(VLOOKUP(Tabla29[[#This Row],[CODIGO]],[1]!Tabla6[[CODIGO]:[PRECIO VENTA]],9,0),0)</f>
        <v>0</v>
      </c>
      <c r="Q155" s="29">
        <f>IFERROR(Tabla29[[#This Row],[PRECIO DETAL USD]]*0.8,0)</f>
        <v>12.032</v>
      </c>
      <c r="R155" s="30">
        <f>IFERROR([1]!Tabla2[[#This Row],[STOCK]]*[1]!Tabla2[[#This Row],[COSTO]],0)</f>
        <v>576.00000000000011</v>
      </c>
    </row>
    <row r="156" spans="1:18" x14ac:dyDescent="0.35">
      <c r="A156" s="47" t="s">
        <v>454</v>
      </c>
      <c r="B156" s="56"/>
      <c r="C156" s="56"/>
      <c r="D156" s="57"/>
      <c r="E156" s="57"/>
      <c r="F156" s="58"/>
      <c r="G156" s="59" t="s">
        <v>455</v>
      </c>
      <c r="H156" s="60" t="s">
        <v>456</v>
      </c>
      <c r="I156" s="51"/>
      <c r="J156" s="52" t="s">
        <v>43</v>
      </c>
      <c r="K156" s="53">
        <v>10.29</v>
      </c>
      <c r="L156" s="64"/>
      <c r="M156" s="45">
        <f>SUMIFS([1]!Tabla6[SALIDA],[1]!Tabla6[CODIGO],Tabla29[[#This Row],[CODIGO]])</f>
        <v>0</v>
      </c>
      <c r="N156" s="45">
        <f>SUMIFS([1]!Tabla6[ENTRADA],[1]!Tabla6[CODIGO],Tabla29[[#This Row],[CODIGO]])</f>
        <v>180</v>
      </c>
      <c r="O156" s="45">
        <f>Tabla29[[#This Row],[DISP]]-Tabla29[[#This Row],[SALIDA]]+Tabla29[[#This Row],[ENTRADA]]</f>
        <v>180</v>
      </c>
      <c r="P156" s="61">
        <f>IFERROR(VLOOKUP(Tabla29[[#This Row],[CODIGO]],[1]!Tabla6[[CODIGO]:[PRECIO VENTA]],9,0),0)</f>
        <v>0</v>
      </c>
      <c r="Q156" s="29">
        <f>IFERROR(Tabla29[[#This Row],[PRECIO DETAL USD]]*0.8,0)</f>
        <v>8.2319999999999993</v>
      </c>
      <c r="R156" s="62">
        <f>IFERROR([1]!Tabla2[[#This Row],[STOCK]]*[1]!Tabla2[[#This Row],[COSTO]],0)</f>
        <v>467.2</v>
      </c>
    </row>
    <row r="157" spans="1:18" x14ac:dyDescent="0.35">
      <c r="A157" s="42" t="s">
        <v>457</v>
      </c>
      <c r="B157" s="48"/>
      <c r="C157" s="48"/>
      <c r="D157" s="49"/>
      <c r="E157" s="49"/>
      <c r="F157" s="50"/>
      <c r="G157" s="59" t="s">
        <v>458</v>
      </c>
      <c r="H157" s="60" t="s">
        <v>459</v>
      </c>
      <c r="I157" s="51"/>
      <c r="J157" s="52" t="s">
        <v>43</v>
      </c>
      <c r="K157" s="53">
        <v>14.85</v>
      </c>
      <c r="L157" s="65"/>
      <c r="M157" s="45">
        <f>SUMIFS([1]!Tabla6[SALIDA],[1]!Tabla6[CODIGO],Tabla29[[#This Row],[CODIGO]])</f>
        <v>2</v>
      </c>
      <c r="N157" s="45">
        <f>SUMIFS([1]!Tabla6[ENTRADA],[1]!Tabla6[CODIGO],Tabla29[[#This Row],[CODIGO]])</f>
        <v>100</v>
      </c>
      <c r="O157" s="39">
        <f>Tabla29[[#This Row],[DISP]]-Tabla29[[#This Row],[SALIDA]]+Tabla29[[#This Row],[ENTRADA]]</f>
        <v>98</v>
      </c>
      <c r="P157" s="66">
        <f>IFERROR(VLOOKUP(Tabla29[[#This Row],[CODIGO]],[1]!Tabla6[[CODIGO]:[PRECIO VENTA]],9,0),0)</f>
        <v>14.012048192771086</v>
      </c>
      <c r="Q157" s="67">
        <f>IFERROR(Tabla29[[#This Row],[PRECIO DETAL USD]]*0.8,0)</f>
        <v>11.88</v>
      </c>
      <c r="R157" s="70">
        <f>IFERROR([1]!Tabla2[[#This Row],[STOCK]]*[1]!Tabla2[[#This Row],[COSTO]],0)</f>
        <v>721.68</v>
      </c>
    </row>
    <row r="158" spans="1:18" ht="18.5" x14ac:dyDescent="0.4">
      <c r="A158" s="41">
        <v>19</v>
      </c>
      <c r="B158" s="20"/>
      <c r="C158" s="21"/>
      <c r="D158" s="22"/>
      <c r="E158" s="22"/>
      <c r="F158" s="22"/>
      <c r="G158" s="23" t="s">
        <v>460</v>
      </c>
      <c r="H158" s="24"/>
      <c r="I158" s="22"/>
      <c r="J158" s="25"/>
      <c r="K158" s="26" t="s">
        <v>20</v>
      </c>
      <c r="L158" s="22"/>
      <c r="M158" s="22"/>
      <c r="N158" s="22"/>
      <c r="O158" s="27">
        <f>Tabla29[[#This Row],[DISP]]-Tabla29[[#This Row],[SALIDA]]+Tabla29[[#This Row],[ENTRADA]]</f>
        <v>0</v>
      </c>
      <c r="P158" s="28">
        <f>IFERROR(VLOOKUP(Tabla29[[#This Row],[CODIGO]],[1]!Tabla6[[CODIGO]:[PRECIO VENTA]],9,0),0)</f>
        <v>0</v>
      </c>
      <c r="Q158" s="29">
        <f>IFERROR(Tabla29[[#This Row],[PRECIO DETAL USD]]*0.8,0)</f>
        <v>0</v>
      </c>
      <c r="R158" s="30">
        <f>IFERROR([1]!Tabla2[[#This Row],[STOCK]]*[1]!Tabla2[[#This Row],[COSTO]],0)</f>
        <v>8383.2000000000007</v>
      </c>
    </row>
    <row r="159" spans="1:18" x14ac:dyDescent="0.35">
      <c r="A159" s="42" t="s">
        <v>461</v>
      </c>
      <c r="B159" s="32" t="s">
        <v>462</v>
      </c>
      <c r="C159" s="32" t="s">
        <v>401</v>
      </c>
      <c r="D159" s="33">
        <v>1</v>
      </c>
      <c r="E159" s="33">
        <v>1</v>
      </c>
      <c r="F159" s="34">
        <v>1</v>
      </c>
      <c r="G159" s="59" t="s">
        <v>463</v>
      </c>
      <c r="H159" s="60" t="s">
        <v>464</v>
      </c>
      <c r="I159" s="37">
        <v>21</v>
      </c>
      <c r="J159" s="43" t="s">
        <v>43</v>
      </c>
      <c r="K159" s="38">
        <v>291.5</v>
      </c>
      <c r="L159" s="44"/>
      <c r="M159" s="39">
        <f>SUMIFS([1]!Tabla6[SALIDA],[1]!Tabla6[CODIGO],Tabla29[[#This Row],[CODIGO]])</f>
        <v>0</v>
      </c>
      <c r="N159" s="39">
        <f>SUMIFS([1]!Tabla6[ENTRADA],[1]!Tabla6[CODIGO],Tabla29[[#This Row],[CODIGO]])</f>
        <v>0</v>
      </c>
      <c r="O159" s="39">
        <f>Tabla29[[#This Row],[DISP]]-Tabla29[[#This Row],[SALIDA]]+Tabla29[[#This Row],[ENTRADA]]</f>
        <v>21</v>
      </c>
      <c r="P159" s="29">
        <f>IFERROR(VLOOKUP(Tabla29[[#This Row],[CODIGO]],[1]!Tabla6[[CODIGO]:[PRECIO VENTA]],9,0),0)</f>
        <v>0</v>
      </c>
      <c r="Q159" s="29">
        <f>IFERROR(Tabla29[[#This Row],[PRECIO DETAL USD]]*0.8,0)</f>
        <v>233.20000000000002</v>
      </c>
      <c r="R159" s="30">
        <f>IFERROR([1]!Tabla2[[#This Row],[STOCK]]*[1]!Tabla2[[#This Row],[COSTO]],0)</f>
        <v>1000</v>
      </c>
    </row>
    <row r="160" spans="1:18" x14ac:dyDescent="0.35">
      <c r="A160" s="42" t="s">
        <v>465</v>
      </c>
      <c r="B160" s="32" t="s">
        <v>466</v>
      </c>
      <c r="C160" s="32" t="s">
        <v>401</v>
      </c>
      <c r="D160" s="33">
        <v>1</v>
      </c>
      <c r="E160" s="33">
        <v>43</v>
      </c>
      <c r="F160" s="34">
        <v>1</v>
      </c>
      <c r="G160" s="59" t="s">
        <v>467</v>
      </c>
      <c r="H160" s="60" t="s">
        <v>468</v>
      </c>
      <c r="I160" s="37">
        <v>772</v>
      </c>
      <c r="J160" s="43" t="s">
        <v>43</v>
      </c>
      <c r="K160" s="38">
        <v>12.72</v>
      </c>
      <c r="L160" s="44"/>
      <c r="M160" s="39">
        <f>SUMIFS([1]!Tabla6[SALIDA],[1]!Tabla6[CODIGO],Tabla29[[#This Row],[CODIGO]])</f>
        <v>166</v>
      </c>
      <c r="N160" s="39">
        <f>SUMIFS([1]!Tabla6[ENTRADA],[1]!Tabla6[CODIGO],Tabla29[[#This Row],[CODIGO]])</f>
        <v>0</v>
      </c>
      <c r="O160" s="39">
        <f>Tabla29[[#This Row],[DISP]]-Tabla29[[#This Row],[SALIDA]]+Tabla29[[#This Row],[ENTRADA]]</f>
        <v>606</v>
      </c>
      <c r="P160" s="29">
        <f>IFERROR(VLOOKUP(Tabla29[[#This Row],[CODIGO]],[1]!Tabla6[[CODIGO]:[PRECIO VENTA]],9,0),0)</f>
        <v>0</v>
      </c>
      <c r="Q160" s="29">
        <f>IFERROR(Tabla29[[#This Row],[PRECIO DETAL USD]]*0.8,0)</f>
        <v>10.176000000000002</v>
      </c>
      <c r="R160" s="30">
        <f>IFERROR([1]!Tabla2[[#This Row],[STOCK]]*[1]!Tabla2[[#This Row],[COSTO]],0)</f>
        <v>-97.2</v>
      </c>
    </row>
    <row r="161" spans="1:18" hidden="1" x14ac:dyDescent="0.35">
      <c r="A161" s="42" t="s">
        <v>469</v>
      </c>
      <c r="B161" s="32" t="s">
        <v>470</v>
      </c>
      <c r="C161" s="32" t="s">
        <v>401</v>
      </c>
      <c r="D161" s="33">
        <v>4</v>
      </c>
      <c r="E161" s="33" t="s">
        <v>128</v>
      </c>
      <c r="F161" s="34">
        <v>3</v>
      </c>
      <c r="G161" s="35" t="s">
        <v>471</v>
      </c>
      <c r="H161" s="36" t="s">
        <v>472</v>
      </c>
      <c r="I161" s="37">
        <v>0</v>
      </c>
      <c r="J161" s="43" t="s">
        <v>43</v>
      </c>
      <c r="K161" s="38">
        <v>25</v>
      </c>
      <c r="L161" s="44"/>
      <c r="M161" s="39">
        <f>SUMIFS([1]!Tabla6[SALIDA],[1]!Tabla6[CODIGO],Tabla29[[#This Row],[CODIGO]])</f>
        <v>0</v>
      </c>
      <c r="N161" s="39">
        <f>SUMIFS([1]!Tabla6[ENTRADA],[1]!Tabla6[CODIGO],Tabla29[[#This Row],[CODIGO]])</f>
        <v>0</v>
      </c>
      <c r="O161" s="39">
        <f>Tabla29[[#This Row],[DISP]]-Tabla29[[#This Row],[SALIDA]]+Tabla29[[#This Row],[ENTRADA]]</f>
        <v>0</v>
      </c>
      <c r="P161" s="29">
        <f>IFERROR(VLOOKUP(Tabla29[[#This Row],[CODIGO]],[1]!Tabla6[[CODIGO]:[PRECIO VENTA]],9,0),0)</f>
        <v>0</v>
      </c>
      <c r="Q161" s="29">
        <f>IFERROR(Tabla29[[#This Row],[PRECIO DETAL USD]]*0.8,0)</f>
        <v>20</v>
      </c>
      <c r="R161" s="30">
        <f>IFERROR([1]!Tabla2[[#This Row],[STOCK]]*[1]!Tabla2[[#This Row],[COSTO]],0)</f>
        <v>204.23999999999998</v>
      </c>
    </row>
    <row r="162" spans="1:18" hidden="1" x14ac:dyDescent="0.35">
      <c r="A162" s="42" t="s">
        <v>473</v>
      </c>
      <c r="B162" s="32" t="s">
        <v>470</v>
      </c>
      <c r="C162" s="32" t="s">
        <v>401</v>
      </c>
      <c r="D162" s="33">
        <v>44</v>
      </c>
      <c r="E162" s="33" t="s">
        <v>128</v>
      </c>
      <c r="F162" s="34">
        <v>4</v>
      </c>
      <c r="G162" s="35" t="s">
        <v>474</v>
      </c>
      <c r="H162" s="36" t="s">
        <v>475</v>
      </c>
      <c r="I162" s="37">
        <v>0</v>
      </c>
      <c r="J162" s="43" t="s">
        <v>43</v>
      </c>
      <c r="K162" s="38">
        <v>15</v>
      </c>
      <c r="L162" s="44"/>
      <c r="M162" s="39">
        <f>SUMIFS([1]!Tabla6[SALIDA],[1]!Tabla6[CODIGO],Tabla29[[#This Row],[CODIGO]])</f>
        <v>0</v>
      </c>
      <c r="N162" s="39">
        <f>SUMIFS([1]!Tabla6[ENTRADA],[1]!Tabla6[CODIGO],Tabla29[[#This Row],[CODIGO]])</f>
        <v>0</v>
      </c>
      <c r="O162" s="39">
        <f>Tabla29[[#This Row],[DISP]]-Tabla29[[#This Row],[SALIDA]]+Tabla29[[#This Row],[ENTRADA]]</f>
        <v>0</v>
      </c>
      <c r="P162" s="29">
        <f>IFERROR(VLOOKUP(Tabla29[[#This Row],[CODIGO]],[1]!Tabla6[[CODIGO]:[PRECIO VENTA]],9,0),0)</f>
        <v>0</v>
      </c>
      <c r="Q162" s="29">
        <f>IFERROR(Tabla29[[#This Row],[PRECIO DETAL USD]]*0.8,0)</f>
        <v>12</v>
      </c>
      <c r="R162" s="30">
        <f>IFERROR([1]!Tabla2[[#This Row],[STOCK]]*[1]!Tabla2[[#This Row],[COSTO]],0)</f>
        <v>170.64000000000001</v>
      </c>
    </row>
    <row r="163" spans="1:18" hidden="1" x14ac:dyDescent="0.35">
      <c r="A163" s="42" t="s">
        <v>476</v>
      </c>
      <c r="B163" s="32" t="s">
        <v>470</v>
      </c>
      <c r="C163" s="32" t="s">
        <v>401</v>
      </c>
      <c r="D163" s="33">
        <v>4</v>
      </c>
      <c r="E163" s="33" t="s">
        <v>128</v>
      </c>
      <c r="F163" s="34">
        <v>2</v>
      </c>
      <c r="G163" s="35" t="s">
        <v>477</v>
      </c>
      <c r="H163" s="36" t="s">
        <v>478</v>
      </c>
      <c r="I163" s="37">
        <v>0</v>
      </c>
      <c r="J163" s="43" t="s">
        <v>43</v>
      </c>
      <c r="K163" s="38">
        <v>45</v>
      </c>
      <c r="L163" s="44"/>
      <c r="M163" s="39">
        <f>SUMIFS([1]!Tabla6[SALIDA],[1]!Tabla6[CODIGO],Tabla29[[#This Row],[CODIGO]])</f>
        <v>0</v>
      </c>
      <c r="N163" s="39">
        <f>SUMIFS([1]!Tabla6[ENTRADA],[1]!Tabla6[CODIGO],Tabla29[[#This Row],[CODIGO]])</f>
        <v>0</v>
      </c>
      <c r="O163" s="39">
        <f>Tabla29[[#This Row],[DISP]]-Tabla29[[#This Row],[SALIDA]]+Tabla29[[#This Row],[ENTRADA]]</f>
        <v>0</v>
      </c>
      <c r="P163" s="29">
        <f>IFERROR(VLOOKUP(Tabla29[[#This Row],[CODIGO]],[1]!Tabla6[[CODIGO]:[PRECIO VENTA]],9,0),0)</f>
        <v>0</v>
      </c>
      <c r="Q163" s="29">
        <f>IFERROR(Tabla29[[#This Row],[PRECIO DETAL USD]]*0.8,0)</f>
        <v>36</v>
      </c>
      <c r="R163" s="30">
        <f>IFERROR([1]!Tabla2[[#This Row],[STOCK]]*[1]!Tabla2[[#This Row],[COSTO]],0)</f>
        <v>-31.248000000000001</v>
      </c>
    </row>
    <row r="164" spans="1:18" ht="15" customHeight="1" x14ac:dyDescent="0.4">
      <c r="A164" s="41">
        <v>20</v>
      </c>
      <c r="B164" s="32"/>
      <c r="C164" s="21"/>
      <c r="D164" s="22"/>
      <c r="E164" s="22"/>
      <c r="F164" s="22"/>
      <c r="G164" s="23" t="s">
        <v>479</v>
      </c>
      <c r="H164" s="24"/>
      <c r="I164" s="22"/>
      <c r="J164" s="25"/>
      <c r="K164" s="26" t="s">
        <v>20</v>
      </c>
      <c r="L164" s="22"/>
      <c r="M164" s="22"/>
      <c r="N164" s="22"/>
      <c r="O164" s="27" t="s">
        <v>21</v>
      </c>
      <c r="P164" s="28">
        <f>IFERROR(VLOOKUP(Tabla29[[#This Row],[CODIGO]],[1]!Tabla6[[CODIGO]:[PRECIO VENTA]],9,0),0)</f>
        <v>0</v>
      </c>
      <c r="Q164" s="29">
        <f>IFERROR(Tabla29[[#This Row],[PRECIO DETAL USD]]*0.8,0)</f>
        <v>0</v>
      </c>
      <c r="R164" s="30">
        <f>IFERROR([1]!Tabla2[[#This Row],[STOCK]]*[1]!Tabla2[[#This Row],[COSTO]],0)</f>
        <v>256.36799999999999</v>
      </c>
    </row>
    <row r="165" spans="1:18" ht="15" customHeight="1" x14ac:dyDescent="0.35">
      <c r="A165" s="42" t="s">
        <v>480</v>
      </c>
      <c r="B165" s="32" t="s">
        <v>481</v>
      </c>
      <c r="C165" s="32" t="s">
        <v>482</v>
      </c>
      <c r="D165" s="33">
        <v>3</v>
      </c>
      <c r="E165" s="33">
        <v>1</v>
      </c>
      <c r="F165" s="34">
        <v>9</v>
      </c>
      <c r="G165" s="59" t="s">
        <v>483</v>
      </c>
      <c r="H165" s="56" t="s">
        <v>484</v>
      </c>
      <c r="I165" s="87">
        <v>100</v>
      </c>
      <c r="J165" s="88" t="s">
        <v>485</v>
      </c>
      <c r="K165" s="38">
        <v>27.15</v>
      </c>
      <c r="L165" s="44"/>
      <c r="M165" s="39">
        <f>SUMIFS([1]!Tabla6[SALIDA],[1]!Tabla6[CODIGO],Tabla29[[#This Row],[CODIGO]])</f>
        <v>7</v>
      </c>
      <c r="N165" s="39">
        <f>SUMIFS([1]!Tabla6[ENTRADA],[1]!Tabla6[CODIGO],Tabla29[[#This Row],[CODIGO]])</f>
        <v>0</v>
      </c>
      <c r="O165" s="45">
        <f>Tabla29[[#This Row],[DISP]]-Tabla29[[#This Row],[SALIDA]]+Tabla29[[#This Row],[ENTRADA]]</f>
        <v>93</v>
      </c>
      <c r="P165" s="29">
        <f>IFERROR(VLOOKUP(Tabla29[[#This Row],[CODIGO]],[1]!Tabla6[[CODIGO]:[PRECIO VENTA]],9,0),0)</f>
        <v>0</v>
      </c>
      <c r="Q165" s="29">
        <f>IFERROR(Tabla29[[#This Row],[PRECIO DETAL USD]]*0.8,0)</f>
        <v>21.72</v>
      </c>
      <c r="R165" s="30">
        <f>IFERROR([1]!Tabla2[[#This Row],[STOCK]]*[1]!Tabla2[[#This Row],[COSTO]],0)</f>
        <v>17.472000000000001</v>
      </c>
    </row>
    <row r="166" spans="1:18" ht="15" customHeight="1" x14ac:dyDescent="0.35">
      <c r="A166" s="42" t="s">
        <v>486</v>
      </c>
      <c r="B166" s="32" t="s">
        <v>481</v>
      </c>
      <c r="C166" s="32" t="s">
        <v>482</v>
      </c>
      <c r="D166" s="33">
        <v>3</v>
      </c>
      <c r="E166" s="33">
        <v>1</v>
      </c>
      <c r="F166" s="34">
        <v>10</v>
      </c>
      <c r="G166" s="59" t="s">
        <v>487</v>
      </c>
      <c r="H166" s="56" t="s">
        <v>488</v>
      </c>
      <c r="I166" s="87">
        <v>30</v>
      </c>
      <c r="J166" s="88" t="s">
        <v>485</v>
      </c>
      <c r="K166" s="38">
        <v>32.86</v>
      </c>
      <c r="L166" s="44"/>
      <c r="M166" s="39">
        <f>SUMIFS([1]!Tabla6[SALIDA],[1]!Tabla6[CODIGO],Tabla29[[#This Row],[CODIGO]])</f>
        <v>105</v>
      </c>
      <c r="N166" s="39">
        <f>SUMIFS([1]!Tabla6[ENTRADA],[1]!Tabla6[CODIGO],Tabla29[[#This Row],[CODIGO]])</f>
        <v>98</v>
      </c>
      <c r="O166" s="45">
        <f>Tabla29[[#This Row],[DISP]]-Tabla29[[#This Row],[SALIDA]]+Tabla29[[#This Row],[ENTRADA]]</f>
        <v>23</v>
      </c>
      <c r="P166" s="29">
        <f>IFERROR(VLOOKUP(Tabla29[[#This Row],[CODIGO]],[1]!Tabla6[[CODIGO]:[PRECIO VENTA]],9,0),0)</f>
        <v>0</v>
      </c>
      <c r="Q166" s="29">
        <f>IFERROR(Tabla29[[#This Row],[PRECIO DETAL USD]]*0.8,0)</f>
        <v>26.288</v>
      </c>
      <c r="R166" s="30">
        <f>IFERROR([1]!Tabla2[[#This Row],[STOCK]]*[1]!Tabla2[[#This Row],[COSTO]],0)</f>
        <v>3844.8</v>
      </c>
    </row>
    <row r="167" spans="1:18" ht="15" customHeight="1" x14ac:dyDescent="0.35">
      <c r="A167" s="42" t="s">
        <v>489</v>
      </c>
      <c r="B167" s="32" t="s">
        <v>481</v>
      </c>
      <c r="C167" s="32" t="s">
        <v>482</v>
      </c>
      <c r="D167" s="33">
        <v>3</v>
      </c>
      <c r="E167" s="33">
        <v>1</v>
      </c>
      <c r="F167" s="34">
        <v>11</v>
      </c>
      <c r="G167" s="59" t="s">
        <v>490</v>
      </c>
      <c r="H167" s="60" t="s">
        <v>491</v>
      </c>
      <c r="I167" s="87">
        <v>5</v>
      </c>
      <c r="J167" s="88" t="s">
        <v>485</v>
      </c>
      <c r="K167" s="38">
        <v>46.11</v>
      </c>
      <c r="L167" s="44"/>
      <c r="M167" s="39">
        <f>SUMIFS([1]!Tabla6[SALIDA],[1]!Tabla6[CODIGO],Tabla29[[#This Row],[CODIGO]])</f>
        <v>14</v>
      </c>
      <c r="N167" s="39">
        <f>SUMIFS([1]!Tabla6[ENTRADA],[1]!Tabla6[CODIGO],Tabla29[[#This Row],[CODIGO]])</f>
        <v>26</v>
      </c>
      <c r="O167" s="45">
        <f>Tabla29[[#This Row],[DISP]]-Tabla29[[#This Row],[SALIDA]]+Tabla29[[#This Row],[ENTRADA]]</f>
        <v>17</v>
      </c>
      <c r="P167" s="29">
        <f>IFERROR(VLOOKUP(Tabla29[[#This Row],[CODIGO]],[1]!Tabla6[[CODIGO]:[PRECIO VENTA]],9,0),0)</f>
        <v>44.909090909090907</v>
      </c>
      <c r="Q167" s="29">
        <f>IFERROR(Tabla29[[#This Row],[PRECIO DETAL USD]]*0.8,0)</f>
        <v>36.887999999999998</v>
      </c>
      <c r="R167" s="30">
        <f>IFERROR([1]!Tabla2[[#This Row],[STOCK]]*[1]!Tabla2[[#This Row],[COSTO]],0)</f>
        <v>5976</v>
      </c>
    </row>
    <row r="168" spans="1:18" ht="15" customHeight="1" x14ac:dyDescent="0.35">
      <c r="A168" s="42" t="s">
        <v>492</v>
      </c>
      <c r="B168" s="32" t="s">
        <v>493</v>
      </c>
      <c r="C168" s="32" t="s">
        <v>482</v>
      </c>
      <c r="D168" s="33">
        <v>3</v>
      </c>
      <c r="E168" s="33">
        <v>1</v>
      </c>
      <c r="F168" s="34">
        <v>12</v>
      </c>
      <c r="G168" s="59" t="s">
        <v>494</v>
      </c>
      <c r="H168" s="60" t="s">
        <v>495</v>
      </c>
      <c r="I168" s="87">
        <v>3</v>
      </c>
      <c r="J168" s="88" t="s">
        <v>485</v>
      </c>
      <c r="K168" s="38">
        <v>51.49</v>
      </c>
      <c r="L168" s="44"/>
      <c r="M168" s="39">
        <f>SUMIFS([1]!Tabla6[SALIDA],[1]!Tabla6[CODIGO],Tabla29[[#This Row],[CODIGO]])</f>
        <v>0</v>
      </c>
      <c r="N168" s="39">
        <f>SUMIFS([1]!Tabla6[ENTRADA],[1]!Tabla6[CODIGO],Tabla29[[#This Row],[CODIGO]])</f>
        <v>0</v>
      </c>
      <c r="O168" s="45">
        <f>Tabla29[[#This Row],[DISP]]-Tabla29[[#This Row],[SALIDA]]+Tabla29[[#This Row],[ENTRADA]]</f>
        <v>3</v>
      </c>
      <c r="P168" s="29">
        <f>IFERROR(VLOOKUP(Tabla29[[#This Row],[CODIGO]],[1]!Tabla6[[CODIGO]:[PRECIO VENTA]],9,0),0)</f>
        <v>0</v>
      </c>
      <c r="Q168" s="29">
        <f>IFERROR(Tabla29[[#This Row],[PRECIO DETAL USD]]*0.8,0)</f>
        <v>41.192000000000007</v>
      </c>
      <c r="R168" s="30">
        <f>IFERROR([1]!Tabla2[[#This Row],[STOCK]]*[1]!Tabla2[[#This Row],[COSTO]],0)</f>
        <v>165.36</v>
      </c>
    </row>
    <row r="169" spans="1:18" ht="15" customHeight="1" x14ac:dyDescent="0.35">
      <c r="A169" s="42" t="s">
        <v>496</v>
      </c>
      <c r="B169" s="32" t="s">
        <v>493</v>
      </c>
      <c r="C169" s="32" t="s">
        <v>482</v>
      </c>
      <c r="D169" s="33">
        <v>3</v>
      </c>
      <c r="E169" s="33">
        <v>1</v>
      </c>
      <c r="F169" s="34">
        <v>13</v>
      </c>
      <c r="G169" s="59" t="s">
        <v>497</v>
      </c>
      <c r="H169" s="60" t="s">
        <v>498</v>
      </c>
      <c r="I169" s="88">
        <v>20</v>
      </c>
      <c r="J169" s="88" t="s">
        <v>485</v>
      </c>
      <c r="K169" s="38">
        <v>41.34</v>
      </c>
      <c r="L169" s="44"/>
      <c r="M169" s="39">
        <f>SUMIFS([1]!Tabla6[SALIDA],[1]!Tabla6[CODIGO],Tabla29[[#This Row],[CODIGO]])</f>
        <v>1</v>
      </c>
      <c r="N169" s="39">
        <f>SUMIFS([1]!Tabla6[ENTRADA],[1]!Tabla6[CODIGO],Tabla29[[#This Row],[CODIGO]])</f>
        <v>0</v>
      </c>
      <c r="O169" s="45">
        <f>Tabla29[[#This Row],[DISP]]-Tabla29[[#This Row],[SALIDA]]+Tabla29[[#This Row],[ENTRADA]]</f>
        <v>19</v>
      </c>
      <c r="P169" s="29">
        <f>IFERROR(VLOOKUP(Tabla29[[#This Row],[CODIGO]],[1]!Tabla6[[CODIGO]:[PRECIO VENTA]],9,0),0)</f>
        <v>0</v>
      </c>
      <c r="Q169" s="29">
        <f>IFERROR(Tabla29[[#This Row],[PRECIO DETAL USD]]*0.8,0)</f>
        <v>33.072000000000003</v>
      </c>
      <c r="R169" s="30">
        <f>IFERROR([1]!Tabla2[[#This Row],[STOCK]]*[1]!Tabla2[[#This Row],[COSTO]],0)</f>
        <v>439.6</v>
      </c>
    </row>
    <row r="170" spans="1:18" x14ac:dyDescent="0.35">
      <c r="A170" s="42" t="s">
        <v>499</v>
      </c>
      <c r="B170" s="32" t="s">
        <v>493</v>
      </c>
      <c r="C170" s="32" t="s">
        <v>482</v>
      </c>
      <c r="D170" s="33">
        <v>3</v>
      </c>
      <c r="E170" s="33">
        <v>1</v>
      </c>
      <c r="F170" s="34">
        <v>14</v>
      </c>
      <c r="G170" s="59" t="s">
        <v>500</v>
      </c>
      <c r="H170" s="60" t="s">
        <v>501</v>
      </c>
      <c r="I170" s="88">
        <v>26</v>
      </c>
      <c r="J170" s="88" t="s">
        <v>485</v>
      </c>
      <c r="K170" s="38">
        <v>37.1</v>
      </c>
      <c r="L170" s="44"/>
      <c r="M170" s="39">
        <f>SUMIFS([1]!Tabla6[SALIDA],[1]!Tabla6[CODIGO],Tabla29[[#This Row],[CODIGO]])</f>
        <v>13</v>
      </c>
      <c r="N170" s="39">
        <f>SUMIFS([1]!Tabla6[ENTRADA],[1]!Tabla6[CODIGO],Tabla29[[#This Row],[CODIGO]])</f>
        <v>0</v>
      </c>
      <c r="O170" s="45">
        <f>Tabla29[[#This Row],[DISP]]-Tabla29[[#This Row],[SALIDA]]+Tabla29[[#This Row],[ENTRADA]]</f>
        <v>13</v>
      </c>
      <c r="P170" s="29">
        <f>IFERROR(VLOOKUP(Tabla29[[#This Row],[CODIGO]],[1]!Tabla6[[CODIGO]:[PRECIO VENTA]],9,0),0)</f>
        <v>0</v>
      </c>
      <c r="Q170" s="29">
        <f>IFERROR(Tabla29[[#This Row],[PRECIO DETAL USD]]*0.8,0)</f>
        <v>29.680000000000003</v>
      </c>
      <c r="R170" s="30">
        <f>IFERROR([1]!Tabla2[[#This Row],[STOCK]]*[1]!Tabla2[[#This Row],[COSTO]],0)</f>
        <v>-56.000000000000007</v>
      </c>
    </row>
    <row r="171" spans="1:18" x14ac:dyDescent="0.35">
      <c r="A171" s="42" t="s">
        <v>502</v>
      </c>
      <c r="B171" s="32" t="s">
        <v>493</v>
      </c>
      <c r="C171" s="32" t="s">
        <v>482</v>
      </c>
      <c r="D171" s="33">
        <v>3</v>
      </c>
      <c r="E171" s="33">
        <v>1</v>
      </c>
      <c r="F171" s="34">
        <v>15</v>
      </c>
      <c r="G171" s="59" t="s">
        <v>503</v>
      </c>
      <c r="H171" s="60" t="s">
        <v>504</v>
      </c>
      <c r="I171" s="88">
        <v>60</v>
      </c>
      <c r="J171" s="88" t="s">
        <v>485</v>
      </c>
      <c r="K171" s="38">
        <v>45.58</v>
      </c>
      <c r="L171" s="44"/>
      <c r="M171" s="39">
        <f>SUMIFS([1]!Tabla6[SALIDA],[1]!Tabla6[CODIGO],Tabla29[[#This Row],[CODIGO]])</f>
        <v>63</v>
      </c>
      <c r="N171" s="39">
        <f>SUMIFS([1]!Tabla6[ENTRADA],[1]!Tabla6[CODIGO],Tabla29[[#This Row],[CODIGO]])</f>
        <v>60</v>
      </c>
      <c r="O171" s="45">
        <f>Tabla29[[#This Row],[DISP]]-Tabla29[[#This Row],[SALIDA]]+Tabla29[[#This Row],[ENTRADA]]</f>
        <v>57</v>
      </c>
      <c r="P171" s="29">
        <f>IFERROR(VLOOKUP(Tabla29[[#This Row],[CODIGO]],[1]!Tabla6[[CODIGO]:[PRECIO VENTA]],9,0),0)</f>
        <v>0</v>
      </c>
      <c r="Q171" s="29">
        <f>IFERROR(Tabla29[[#This Row],[PRECIO DETAL USD]]*0.8,0)</f>
        <v>36.463999999999999</v>
      </c>
      <c r="R171" s="30">
        <f>IFERROR([1]!Tabla2[[#This Row],[STOCK]]*[1]!Tabla2[[#This Row],[COSTO]],0)</f>
        <v>470.40000000000003</v>
      </c>
    </row>
    <row r="172" spans="1:18" ht="15" hidden="1" customHeight="1" x14ac:dyDescent="0.35">
      <c r="A172" s="42" t="s">
        <v>505</v>
      </c>
      <c r="B172" s="32" t="s">
        <v>493</v>
      </c>
      <c r="C172" s="32" t="s">
        <v>482</v>
      </c>
      <c r="D172" s="33">
        <v>3</v>
      </c>
      <c r="E172" s="33">
        <v>1</v>
      </c>
      <c r="F172" s="34">
        <v>16</v>
      </c>
      <c r="G172" s="35" t="s">
        <v>506</v>
      </c>
      <c r="H172" s="36" t="s">
        <v>507</v>
      </c>
      <c r="I172" s="88">
        <v>3</v>
      </c>
      <c r="J172" s="88" t="s">
        <v>485</v>
      </c>
      <c r="K172" s="38">
        <v>43</v>
      </c>
      <c r="L172" s="44"/>
      <c r="M172" s="39">
        <f>SUMIFS([1]!Tabla6[SALIDA],[1]!Tabla6[CODIGO],Tabla29[[#This Row],[CODIGO]])</f>
        <v>3</v>
      </c>
      <c r="N172" s="39">
        <f>SUMIFS([1]!Tabla6[ENTRADA],[1]!Tabla6[CODIGO],Tabla29[[#This Row],[CODIGO]])</f>
        <v>0</v>
      </c>
      <c r="O172" s="45">
        <f>Tabla29[[#This Row],[DISP]]-Tabla29[[#This Row],[SALIDA]]+Tabla29[[#This Row],[ENTRADA]]</f>
        <v>0</v>
      </c>
      <c r="P172" s="29">
        <f>IFERROR(VLOOKUP(Tabla29[[#This Row],[CODIGO]],[1]!Tabla6[[CODIGO]:[PRECIO VENTA]],9,0),0)</f>
        <v>0</v>
      </c>
      <c r="Q172" s="29">
        <f>IFERROR(Tabla29[[#This Row],[PRECIO DETAL USD]]*0.8,0)</f>
        <v>34.4</v>
      </c>
      <c r="R172" s="30">
        <f>IFERROR([1]!Tabla2[[#This Row],[STOCK]]*[1]!Tabla2[[#This Row],[COSTO]],0)</f>
        <v>0</v>
      </c>
    </row>
    <row r="173" spans="1:18" ht="15" customHeight="1" x14ac:dyDescent="0.35">
      <c r="A173" s="42" t="s">
        <v>508</v>
      </c>
      <c r="B173" s="48"/>
      <c r="C173" s="48"/>
      <c r="D173" s="49"/>
      <c r="E173" s="49"/>
      <c r="F173" s="50"/>
      <c r="G173" s="59" t="s">
        <v>509</v>
      </c>
      <c r="H173" s="60" t="s">
        <v>510</v>
      </c>
      <c r="I173" s="51"/>
      <c r="J173" s="88" t="s">
        <v>485</v>
      </c>
      <c r="K173" s="53">
        <v>38.159999999999997</v>
      </c>
      <c r="L173" s="65"/>
      <c r="M173" s="45">
        <f>SUMIFS([1]!Tabla6[SALIDA],[1]!Tabla6[CODIGO],Tabla29[[#This Row],[CODIGO]])</f>
        <v>0</v>
      </c>
      <c r="N173" s="45">
        <f>SUMIFS([1]!Tabla6[ENTRADA],[1]!Tabla6[CODIGO],Tabla29[[#This Row],[CODIGO]])</f>
        <v>75</v>
      </c>
      <c r="O173" s="45">
        <f>Tabla29[[#This Row],[DISP]]-Tabla29[[#This Row],[SALIDA]]+Tabla29[[#This Row],[ENTRADA]]</f>
        <v>75</v>
      </c>
      <c r="P173" s="66">
        <f>IFERROR(VLOOKUP(Tabla29[[#This Row],[CODIGO]],[1]!Tabla6[[CODIGO]:[PRECIO VENTA]],9,0),0)</f>
        <v>0</v>
      </c>
      <c r="Q173" s="67">
        <f>IFERROR(Tabla29[[#This Row],[PRECIO DETAL USD]]*0.8,0)</f>
        <v>30.527999999999999</v>
      </c>
      <c r="R173" s="70">
        <f>IFERROR([1]!Tabla2[[#This Row],[STOCK]]*[1]!Tabla2[[#This Row],[COSTO]],0)</f>
        <v>4800</v>
      </c>
    </row>
    <row r="174" spans="1:18" ht="15" hidden="1" customHeight="1" x14ac:dyDescent="0.35">
      <c r="A174" s="42" t="s">
        <v>511</v>
      </c>
      <c r="B174" s="32" t="s">
        <v>493</v>
      </c>
      <c r="C174" s="32" t="s">
        <v>482</v>
      </c>
      <c r="D174" s="33">
        <v>3</v>
      </c>
      <c r="E174" s="33">
        <v>1</v>
      </c>
      <c r="F174" s="34">
        <v>1</v>
      </c>
      <c r="G174" s="35" t="s">
        <v>512</v>
      </c>
      <c r="H174" s="36" t="s">
        <v>513</v>
      </c>
      <c r="I174" s="88">
        <v>8</v>
      </c>
      <c r="J174" s="88" t="s">
        <v>485</v>
      </c>
      <c r="K174" s="38">
        <v>46</v>
      </c>
      <c r="L174" s="44"/>
      <c r="M174" s="39">
        <f>SUMIFS([1]!Tabla6[SALIDA],[1]!Tabla6[CODIGO],Tabla29[[#This Row],[CODIGO]])</f>
        <v>8</v>
      </c>
      <c r="N174" s="39">
        <f>SUMIFS([1]!Tabla6[ENTRADA],[1]!Tabla6[CODIGO],Tabla29[[#This Row],[CODIGO]])</f>
        <v>0</v>
      </c>
      <c r="O174" s="45">
        <f>Tabla29[[#This Row],[DISP]]-Tabla29[[#This Row],[SALIDA]]+Tabla29[[#This Row],[ENTRADA]]</f>
        <v>0</v>
      </c>
      <c r="P174" s="29">
        <f>IFERROR(VLOOKUP(Tabla29[[#This Row],[CODIGO]],[1]!Tabla6[[CODIGO]:[PRECIO VENTA]],9,0),0)</f>
        <v>0</v>
      </c>
      <c r="Q174" s="29">
        <f>IFERROR(Tabla29[[#This Row],[PRECIO DETAL USD]]*0.8,0)</f>
        <v>36.800000000000004</v>
      </c>
      <c r="R174" s="30">
        <f>IFERROR([1]!Tabla2[[#This Row],[STOCK]]*[1]!Tabla2[[#This Row],[COSTO]],0)</f>
        <v>0</v>
      </c>
    </row>
    <row r="175" spans="1:18" hidden="1" x14ac:dyDescent="0.35">
      <c r="A175" s="42" t="s">
        <v>514</v>
      </c>
      <c r="B175" s="32" t="s">
        <v>493</v>
      </c>
      <c r="C175" s="32" t="s">
        <v>482</v>
      </c>
      <c r="D175" s="33">
        <v>3</v>
      </c>
      <c r="E175" s="33">
        <v>1</v>
      </c>
      <c r="F175" s="34">
        <v>2</v>
      </c>
      <c r="G175" s="35" t="s">
        <v>515</v>
      </c>
      <c r="H175" s="36" t="s">
        <v>516</v>
      </c>
      <c r="I175" s="88">
        <v>56</v>
      </c>
      <c r="J175" s="88" t="s">
        <v>485</v>
      </c>
      <c r="K175" s="38">
        <v>146</v>
      </c>
      <c r="L175" s="44"/>
      <c r="M175" s="39">
        <f>SUMIFS([1]!Tabla6[SALIDA],[1]!Tabla6[CODIGO],Tabla29[[#This Row],[CODIGO]])</f>
        <v>104</v>
      </c>
      <c r="N175" s="39">
        <f>SUMIFS([1]!Tabla6[ENTRADA],[1]!Tabla6[CODIGO],Tabla29[[#This Row],[CODIGO]])</f>
        <v>48</v>
      </c>
      <c r="O175" s="45">
        <f>Tabla29[[#This Row],[DISP]]-Tabla29[[#This Row],[SALIDA]]+Tabla29[[#This Row],[ENTRADA]]</f>
        <v>0</v>
      </c>
      <c r="P175" s="29">
        <f>IFERROR(VLOOKUP(Tabla29[[#This Row],[CODIGO]],[1]!Tabla6[[CODIGO]:[PRECIO VENTA]],9,0),0)</f>
        <v>0</v>
      </c>
      <c r="Q175" s="29">
        <f>IFERROR(Tabla29[[#This Row],[PRECIO DETAL USD]]*0.8,0)</f>
        <v>116.80000000000001</v>
      </c>
      <c r="R175" s="30">
        <f>IFERROR([1]!Tabla2[[#This Row],[STOCK]]*[1]!Tabla2[[#This Row],[COSTO]],0)</f>
        <v>0</v>
      </c>
    </row>
    <row r="176" spans="1:18" x14ac:dyDescent="0.35">
      <c r="A176" s="42" t="s">
        <v>517</v>
      </c>
      <c r="B176" s="48"/>
      <c r="C176" s="48"/>
      <c r="D176" s="49"/>
      <c r="E176" s="49"/>
      <c r="F176" s="50"/>
      <c r="G176" s="59" t="s">
        <v>518</v>
      </c>
      <c r="H176" s="60" t="s">
        <v>519</v>
      </c>
      <c r="I176" s="51"/>
      <c r="J176" s="52" t="s">
        <v>485</v>
      </c>
      <c r="K176" s="53">
        <v>153.69999999999999</v>
      </c>
      <c r="L176" s="65"/>
      <c r="M176" s="45">
        <f>SUMIFS([1]!Tabla6[SALIDA],[1]!Tabla6[CODIGO],Tabla29[[#This Row],[CODIGO]])</f>
        <v>10.5</v>
      </c>
      <c r="N176" s="45">
        <f>SUMIFS([1]!Tabla6[ENTRADA],[1]!Tabla6[CODIGO],Tabla29[[#This Row],[CODIGO]])</f>
        <v>40</v>
      </c>
      <c r="O176" s="45">
        <f>Tabla29[[#This Row],[DISP]]-Tabla29[[#This Row],[SALIDA]]+Tabla29[[#This Row],[ENTRADA]]</f>
        <v>29.5</v>
      </c>
      <c r="P176" s="66">
        <f>IFERROR(VLOOKUP(Tabla29[[#This Row],[CODIGO]],[1]!Tabla6[[CODIGO]:[PRECIO VENTA]],9,0),0)</f>
        <v>0</v>
      </c>
      <c r="Q176" s="67">
        <f>IFERROR(Tabla29[[#This Row],[PRECIO DETAL USD]]*0.8,0)</f>
        <v>122.96</v>
      </c>
      <c r="R176" s="68">
        <f>IFERROR([1]!Tabla2[[#This Row],[STOCK]]*[1]!Tabla2[[#This Row],[COSTO]],0)</f>
        <v>0</v>
      </c>
    </row>
    <row r="177" spans="1:18" hidden="1" x14ac:dyDescent="0.35">
      <c r="A177" s="42" t="s">
        <v>520</v>
      </c>
      <c r="B177" s="32" t="s">
        <v>493</v>
      </c>
      <c r="C177" s="32" t="s">
        <v>482</v>
      </c>
      <c r="D177" s="33">
        <v>3</v>
      </c>
      <c r="E177" s="33">
        <v>1</v>
      </c>
      <c r="F177" s="34">
        <v>2</v>
      </c>
      <c r="G177" s="59" t="s">
        <v>521</v>
      </c>
      <c r="H177" s="60" t="s">
        <v>522</v>
      </c>
      <c r="I177" s="89">
        <v>1</v>
      </c>
      <c r="J177" s="89" t="s">
        <v>485</v>
      </c>
      <c r="K177" s="53">
        <f>K175/2</f>
        <v>73</v>
      </c>
      <c r="L177" s="90"/>
      <c r="M177" s="45">
        <f>SUMIFS([1]!Tabla6[SALIDA],[1]!Tabla6[CODIGO],Tabla29[[#This Row],[CODIGO]])</f>
        <v>60</v>
      </c>
      <c r="N177" s="45">
        <f>SUMIFS([1]!Tabla6[ENTRADA],[1]!Tabla6[CODIGO],Tabla29[[#This Row],[CODIGO]])</f>
        <v>59</v>
      </c>
      <c r="O177" s="45">
        <f>Tabla29[[#This Row],[DISP]]-Tabla29[[#This Row],[SALIDA]]+Tabla29[[#This Row],[ENTRADA]]</f>
        <v>0</v>
      </c>
      <c r="P177" s="29">
        <f>IFERROR(VLOOKUP(Tabla29[[#This Row],[CODIGO]],[1]!Tabla6[[CODIGO]:[PRECIO VENTA]],9,0),0)</f>
        <v>0</v>
      </c>
      <c r="Q177" s="29">
        <f>IFERROR(Tabla29[[#This Row],[PRECIO DETAL USD]]*0.8,0)</f>
        <v>58.400000000000006</v>
      </c>
      <c r="R177" s="30">
        <f>IFERROR([1]!Tabla2[[#This Row],[STOCK]]*[1]!Tabla2[[#This Row],[COSTO]],0)</f>
        <v>0</v>
      </c>
    </row>
    <row r="178" spans="1:18" hidden="1" x14ac:dyDescent="0.35">
      <c r="A178" s="42" t="s">
        <v>523</v>
      </c>
      <c r="B178" s="32" t="s">
        <v>493</v>
      </c>
      <c r="C178" s="32" t="s">
        <v>482</v>
      </c>
      <c r="D178" s="33">
        <v>3</v>
      </c>
      <c r="E178" s="33">
        <v>1</v>
      </c>
      <c r="F178" s="34">
        <v>3</v>
      </c>
      <c r="G178" s="59" t="s">
        <v>524</v>
      </c>
      <c r="H178" s="60" t="s">
        <v>525</v>
      </c>
      <c r="I178" s="89">
        <v>3</v>
      </c>
      <c r="J178" s="89" t="s">
        <v>485</v>
      </c>
      <c r="K178" s="53">
        <v>54</v>
      </c>
      <c r="L178" s="90"/>
      <c r="M178" s="45">
        <f>SUMIFS([1]!Tabla6[SALIDA],[1]!Tabla6[CODIGO],Tabla29[[#This Row],[CODIGO]])</f>
        <v>3</v>
      </c>
      <c r="N178" s="45">
        <f>SUMIFS([1]!Tabla6[ENTRADA],[1]!Tabla6[CODIGO],Tabla29[[#This Row],[CODIGO]])</f>
        <v>0</v>
      </c>
      <c r="O178" s="45">
        <f>Tabla29[[#This Row],[DISP]]-Tabla29[[#This Row],[SALIDA]]+Tabla29[[#This Row],[ENTRADA]]</f>
        <v>0</v>
      </c>
      <c r="P178" s="29">
        <f>IFERROR(VLOOKUP(Tabla29[[#This Row],[CODIGO]],[1]!Tabla6[[CODIGO]:[PRECIO VENTA]],9,0),0)</f>
        <v>0</v>
      </c>
      <c r="Q178" s="29">
        <f>IFERROR(Tabla29[[#This Row],[PRECIO DETAL USD]]*0.8,0)</f>
        <v>43.2</v>
      </c>
      <c r="R178" s="30">
        <f>IFERROR([1]!Tabla2[[#This Row],[STOCK]]*[1]!Tabla2[[#This Row],[COSTO]],0)</f>
        <v>0</v>
      </c>
    </row>
    <row r="179" spans="1:18" x14ac:dyDescent="0.35">
      <c r="A179" s="42" t="s">
        <v>526</v>
      </c>
      <c r="B179" s="32"/>
      <c r="C179" s="32"/>
      <c r="D179" s="33">
        <v>3</v>
      </c>
      <c r="E179" s="33">
        <v>1</v>
      </c>
      <c r="F179" s="34">
        <v>18</v>
      </c>
      <c r="G179" s="59" t="s">
        <v>527</v>
      </c>
      <c r="H179" s="60" t="s">
        <v>528</v>
      </c>
      <c r="I179" s="51"/>
      <c r="J179" s="89" t="s">
        <v>485</v>
      </c>
      <c r="K179" s="53">
        <v>291.5</v>
      </c>
      <c r="L179" s="90"/>
      <c r="M179" s="45">
        <f>SUMIFS([1]!Tabla6[SALIDA],[1]!Tabla6[CODIGO],Tabla29[[#This Row],[CODIGO]])</f>
        <v>14</v>
      </c>
      <c r="N179" s="45">
        <f>SUMIFS([1]!Tabla6[ENTRADA],[1]!Tabla6[CODIGO],Tabla29[[#This Row],[CODIGO]])</f>
        <v>19</v>
      </c>
      <c r="O179" s="45">
        <f>Tabla29[[#This Row],[DISP]]-Tabla29[[#This Row],[SALIDA]]+Tabla29[[#This Row],[ENTRADA]]</f>
        <v>5</v>
      </c>
      <c r="P179" s="29">
        <f>IFERROR(VLOOKUP(Tabla29[[#This Row],[CODIGO]],[1]!Tabla6[[CODIGO]:[PRECIO VENTA]],9,0),0)</f>
        <v>311.68831168831167</v>
      </c>
      <c r="Q179" s="29">
        <f>IFERROR(Tabla29[[#This Row],[PRECIO DETAL USD]]*0.8,0)</f>
        <v>233.20000000000002</v>
      </c>
      <c r="R179" s="30">
        <f>IFERROR([1]!Tabla2[[#This Row],[STOCK]]*[1]!Tabla2[[#This Row],[COSTO]],0)</f>
        <v>2322</v>
      </c>
    </row>
    <row r="180" spans="1:18" x14ac:dyDescent="0.35">
      <c r="A180" s="42" t="s">
        <v>529</v>
      </c>
      <c r="B180" s="48"/>
      <c r="C180" s="48"/>
      <c r="D180" s="49"/>
      <c r="E180" s="49"/>
      <c r="F180" s="50"/>
      <c r="G180" s="59" t="s">
        <v>530</v>
      </c>
      <c r="H180" s="60" t="s">
        <v>531</v>
      </c>
      <c r="I180" s="51"/>
      <c r="J180" s="52" t="s">
        <v>485</v>
      </c>
      <c r="K180" s="53">
        <v>302.10000000000002</v>
      </c>
      <c r="L180" s="65"/>
      <c r="M180" s="45">
        <f>SUMIFS([1]!Tabla6[SALIDA],[1]!Tabla6[CODIGO],Tabla29[[#This Row],[CODIGO]])</f>
        <v>0</v>
      </c>
      <c r="N180" s="45">
        <f>SUMIFS([1]!Tabla6[ENTRADA],[1]!Tabla6[CODIGO],Tabla29[[#This Row],[CODIGO]])</f>
        <v>20</v>
      </c>
      <c r="O180" s="45">
        <f>Tabla29[[#This Row],[DISP]]-Tabla29[[#This Row],[SALIDA]]+Tabla29[[#This Row],[ENTRADA]]</f>
        <v>20</v>
      </c>
      <c r="P180" s="66">
        <f>IFERROR(VLOOKUP(Tabla29[[#This Row],[CODIGO]],[1]!Tabla6[[CODIGO]:[PRECIO VENTA]],9,0),0)</f>
        <v>0</v>
      </c>
      <c r="Q180" s="67">
        <f>IFERROR(Tabla29[[#This Row],[PRECIO DETAL USD]]*0.8,0)</f>
        <v>241.68000000000004</v>
      </c>
      <c r="R180" s="68">
        <f>IFERROR([1]!Tabla2[[#This Row],[STOCK]]*[1]!Tabla2[[#This Row],[COSTO]],0)</f>
        <v>0</v>
      </c>
    </row>
    <row r="181" spans="1:18" hidden="1" x14ac:dyDescent="0.35">
      <c r="A181" s="42" t="s">
        <v>532</v>
      </c>
      <c r="B181" s="56"/>
      <c r="C181" s="56"/>
      <c r="D181" s="57"/>
      <c r="E181" s="57"/>
      <c r="F181" s="58"/>
      <c r="G181" s="35" t="s">
        <v>533</v>
      </c>
      <c r="H181" s="36" t="s">
        <v>534</v>
      </c>
      <c r="I181" s="51"/>
      <c r="J181" s="52" t="s">
        <v>535</v>
      </c>
      <c r="K181" s="53">
        <v>147.6</v>
      </c>
      <c r="L181" s="64"/>
      <c r="M181" s="45">
        <f>SUMIFS([1]!Tabla6[SALIDA],[1]!Tabla6[CODIGO],Tabla29[[#This Row],[CODIGO]])</f>
        <v>2</v>
      </c>
      <c r="N181" s="45">
        <f>SUMIFS([1]!Tabla6[ENTRADA],[1]!Tabla6[CODIGO],Tabla29[[#This Row],[CODIGO]])</f>
        <v>2</v>
      </c>
      <c r="O181" s="45">
        <f>Tabla29[[#This Row],[DISP]]-Tabla29[[#This Row],[SALIDA]]+Tabla29[[#This Row],[ENTRADA]]</f>
        <v>0</v>
      </c>
      <c r="P181" s="61">
        <f>IFERROR(VLOOKUP(Tabla29[[#This Row],[CODIGO]],[1]!Tabla6[[CODIGO]:[PRECIO VENTA]],9,0),0)</f>
        <v>138.55421686746988</v>
      </c>
      <c r="Q181" s="29">
        <f>IFERROR(Tabla29[[#This Row],[PRECIO DETAL USD]]*0.8,0)</f>
        <v>118.08</v>
      </c>
      <c r="R181" s="30">
        <f>IFERROR([1]!Tabla2[[#This Row],[STOCK]]*[1]!Tabla2[[#This Row],[COSTO]],0)</f>
        <v>1900.8</v>
      </c>
    </row>
    <row r="182" spans="1:18" hidden="1" x14ac:dyDescent="0.35">
      <c r="A182" s="42" t="s">
        <v>536</v>
      </c>
      <c r="B182" s="32" t="s">
        <v>493</v>
      </c>
      <c r="C182" s="32" t="s">
        <v>482</v>
      </c>
      <c r="D182" s="33">
        <v>3</v>
      </c>
      <c r="E182" s="33">
        <v>1</v>
      </c>
      <c r="F182" s="34">
        <v>4</v>
      </c>
      <c r="G182" s="35" t="s">
        <v>537</v>
      </c>
      <c r="H182" s="36" t="s">
        <v>538</v>
      </c>
      <c r="I182" s="88">
        <v>2</v>
      </c>
      <c r="J182" s="88" t="s">
        <v>485</v>
      </c>
      <c r="K182" s="38">
        <v>20.28</v>
      </c>
      <c r="L182" s="44"/>
      <c r="M182" s="39">
        <f>SUMIFS([1]!Tabla6[SALIDA],[1]!Tabla6[CODIGO],Tabla29[[#This Row],[CODIGO]])</f>
        <v>2</v>
      </c>
      <c r="N182" s="39">
        <f>SUMIFS([1]!Tabla6[ENTRADA],[1]!Tabla6[CODIGO],Tabla29[[#This Row],[CODIGO]])</f>
        <v>0</v>
      </c>
      <c r="O182" s="45">
        <f>Tabla29[[#This Row],[DISP]]-Tabla29[[#This Row],[SALIDA]]+Tabla29[[#This Row],[ENTRADA]]</f>
        <v>0</v>
      </c>
      <c r="P182" s="29">
        <f>IFERROR(VLOOKUP(Tabla29[[#This Row],[CODIGO]],[1]!Tabla6[[CODIGO]:[PRECIO VENTA]],9,0),0)</f>
        <v>0</v>
      </c>
      <c r="Q182" s="29">
        <f>IFERROR(Tabla29[[#This Row],[PRECIO DETAL USD]]*0.8,0)</f>
        <v>16.224</v>
      </c>
      <c r="R182" s="30">
        <f>IFERROR([1]!Tabla2[[#This Row],[STOCK]]*[1]!Tabla2[[#This Row],[COSTO]],0)</f>
        <v>3758.4000000000005</v>
      </c>
    </row>
    <row r="183" spans="1:18" ht="15" customHeight="1" x14ac:dyDescent="0.35">
      <c r="A183" s="42" t="s">
        <v>539</v>
      </c>
      <c r="B183" s="32" t="s">
        <v>493</v>
      </c>
      <c r="C183" s="32" t="s">
        <v>482</v>
      </c>
      <c r="D183" s="33">
        <v>3</v>
      </c>
      <c r="E183" s="33">
        <v>1</v>
      </c>
      <c r="F183" s="34">
        <v>5</v>
      </c>
      <c r="G183" s="59" t="s">
        <v>540</v>
      </c>
      <c r="H183" s="60" t="s">
        <v>541</v>
      </c>
      <c r="I183" s="88">
        <v>133</v>
      </c>
      <c r="J183" s="88" t="s">
        <v>485</v>
      </c>
      <c r="K183" s="38">
        <v>28.38</v>
      </c>
      <c r="L183" s="44"/>
      <c r="M183" s="39">
        <f>SUMIFS([1]!Tabla6[SALIDA],[1]!Tabla6[CODIGO],Tabla29[[#This Row],[CODIGO]])</f>
        <v>2</v>
      </c>
      <c r="N183" s="39">
        <f>SUMIFS([1]!Tabla6[ENTRADA],[1]!Tabla6[CODIGO],Tabla29[[#This Row],[CODIGO]])</f>
        <v>0</v>
      </c>
      <c r="O183" s="45">
        <f>Tabla29[[#This Row],[DISP]]-Tabla29[[#This Row],[SALIDA]]+Tabla29[[#This Row],[ENTRADA]]</f>
        <v>131</v>
      </c>
      <c r="P183" s="29">
        <f>IFERROR(VLOOKUP(Tabla29[[#This Row],[CODIGO]],[1]!Tabla6[[CODIGO]:[PRECIO VENTA]],9,0),0)</f>
        <v>0</v>
      </c>
      <c r="Q183" s="29">
        <f>IFERROR(Tabla29[[#This Row],[PRECIO DETAL USD]]*0.8,0)</f>
        <v>22.704000000000001</v>
      </c>
      <c r="R183" s="30">
        <f>IFERROR([1]!Tabla2[[#This Row],[STOCK]]*[1]!Tabla2[[#This Row],[COSTO]],0)</f>
        <v>443.87200000000007</v>
      </c>
    </row>
    <row r="184" spans="1:18" ht="15" customHeight="1" x14ac:dyDescent="0.35">
      <c r="A184" s="42" t="s">
        <v>542</v>
      </c>
      <c r="B184" s="32" t="s">
        <v>493</v>
      </c>
      <c r="C184" s="32" t="s">
        <v>482</v>
      </c>
      <c r="D184" s="33">
        <v>3</v>
      </c>
      <c r="E184" s="33">
        <v>1</v>
      </c>
      <c r="F184" s="34">
        <v>6</v>
      </c>
      <c r="G184" s="59" t="s">
        <v>543</v>
      </c>
      <c r="H184" s="60" t="s">
        <v>544</v>
      </c>
      <c r="I184" s="88">
        <v>108</v>
      </c>
      <c r="J184" s="88" t="s">
        <v>485</v>
      </c>
      <c r="K184" s="38">
        <v>30.31</v>
      </c>
      <c r="L184" s="44"/>
      <c r="M184" s="39">
        <f>SUMIFS([1]!Tabla6[SALIDA],[1]!Tabla6[CODIGO],Tabla29[[#This Row],[CODIGO]])</f>
        <v>1</v>
      </c>
      <c r="N184" s="39">
        <f>SUMIFS([1]!Tabla6[ENTRADA],[1]!Tabla6[CODIGO],Tabla29[[#This Row],[CODIGO]])</f>
        <v>0</v>
      </c>
      <c r="O184" s="45">
        <f>Tabla29[[#This Row],[DISP]]-Tabla29[[#This Row],[SALIDA]]+Tabla29[[#This Row],[ENTRADA]]</f>
        <v>107</v>
      </c>
      <c r="P184" s="29">
        <f>IFERROR(VLOOKUP(Tabla29[[#This Row],[CODIGO]],[1]!Tabla6[[CODIGO]:[PRECIO VENTA]],9,0),0)</f>
        <v>0</v>
      </c>
      <c r="Q184" s="29">
        <f>IFERROR(Tabla29[[#This Row],[PRECIO DETAL USD]]*0.8,0)</f>
        <v>24.248000000000001</v>
      </c>
      <c r="R184" s="30">
        <f>IFERROR([1]!Tabla2[[#This Row],[STOCK]]*[1]!Tabla2[[#This Row],[COSTO]],0)</f>
        <v>945.92000000000007</v>
      </c>
    </row>
    <row r="185" spans="1:18" ht="15" customHeight="1" x14ac:dyDescent="0.35">
      <c r="A185" s="42" t="s">
        <v>545</v>
      </c>
      <c r="B185" s="32" t="s">
        <v>493</v>
      </c>
      <c r="C185" s="32" t="s">
        <v>482</v>
      </c>
      <c r="D185" s="33">
        <v>3</v>
      </c>
      <c r="E185" s="33">
        <v>1</v>
      </c>
      <c r="F185" s="34">
        <v>7</v>
      </c>
      <c r="G185" s="59" t="s">
        <v>546</v>
      </c>
      <c r="H185" s="60" t="s">
        <v>547</v>
      </c>
      <c r="I185" s="88">
        <v>4</v>
      </c>
      <c r="J185" s="88" t="s">
        <v>485</v>
      </c>
      <c r="K185" s="38">
        <v>35.82</v>
      </c>
      <c r="L185" s="44"/>
      <c r="M185" s="39">
        <f>SUMIFS([1]!Tabla6[SALIDA],[1]!Tabla6[CODIGO],Tabla29[[#This Row],[CODIGO]])</f>
        <v>0</v>
      </c>
      <c r="N185" s="39">
        <f>SUMIFS([1]!Tabla6[ENTRADA],[1]!Tabla6[CODIGO],Tabla29[[#This Row],[CODIGO]])</f>
        <v>0</v>
      </c>
      <c r="O185" s="45">
        <f>Tabla29[[#This Row],[DISP]]-Tabla29[[#This Row],[SALIDA]]+Tabla29[[#This Row],[ENTRADA]]</f>
        <v>4</v>
      </c>
      <c r="P185" s="29">
        <f>IFERROR(VLOOKUP(Tabla29[[#This Row],[CODIGO]],[1]!Tabla6[[CODIGO]:[PRECIO VENTA]],9,0),0)</f>
        <v>0</v>
      </c>
      <c r="Q185" s="29">
        <f>IFERROR(Tabla29[[#This Row],[PRECIO DETAL USD]]*0.8,0)</f>
        <v>28.656000000000002</v>
      </c>
      <c r="R185" s="30">
        <f>IFERROR([1]!Tabla2[[#This Row],[STOCK]]*[1]!Tabla2[[#This Row],[COSTO]],0)</f>
        <v>580</v>
      </c>
    </row>
    <row r="186" spans="1:18" ht="15" customHeight="1" x14ac:dyDescent="0.35">
      <c r="A186" s="42" t="s">
        <v>548</v>
      </c>
      <c r="B186" s="56"/>
      <c r="C186" s="56"/>
      <c r="D186" s="57"/>
      <c r="E186" s="57"/>
      <c r="F186" s="58"/>
      <c r="G186" s="59" t="s">
        <v>549</v>
      </c>
      <c r="H186" s="60" t="s">
        <v>550</v>
      </c>
      <c r="I186" s="51"/>
      <c r="J186" s="52" t="s">
        <v>485</v>
      </c>
      <c r="K186" s="53">
        <v>426.55</v>
      </c>
      <c r="L186" s="64"/>
      <c r="M186" s="45">
        <f>SUMIFS([1]!Tabla6[SALIDA],[1]!Tabla6[CODIGO],Tabla29[[#This Row],[CODIGO]])</f>
        <v>6</v>
      </c>
      <c r="N186" s="45">
        <f>SUMIFS([1]!Tabla6[ENTRADA],[1]!Tabla6[CODIGO],Tabla29[[#This Row],[CODIGO]])</f>
        <v>9</v>
      </c>
      <c r="O186" s="45">
        <f>Tabla29[[#This Row],[DISP]]-Tabla29[[#This Row],[SALIDA]]+Tabla29[[#This Row],[ENTRADA]]</f>
        <v>3</v>
      </c>
      <c r="P186" s="61">
        <f>IFERROR(VLOOKUP(Tabla29[[#This Row],[CODIGO]],[1]!Tabla6[[CODIGO]:[PRECIO VENTA]],9,0),0)</f>
        <v>0</v>
      </c>
      <c r="Q186" s="29">
        <f>IFERROR(Tabla29[[#This Row],[PRECIO DETAL USD]]*0.8,0)</f>
        <v>341.24</v>
      </c>
      <c r="R186" s="62">
        <f>IFERROR([1]!Tabla2[[#This Row],[STOCK]]*[1]!Tabla2[[#This Row],[COSTO]],0)</f>
        <v>309.60000000000002</v>
      </c>
    </row>
    <row r="187" spans="1:18" ht="15" customHeight="1" x14ac:dyDescent="0.35">
      <c r="A187" s="42" t="s">
        <v>551</v>
      </c>
      <c r="B187" s="32" t="s">
        <v>493</v>
      </c>
      <c r="C187" s="32" t="s">
        <v>482</v>
      </c>
      <c r="D187" s="33">
        <v>3</v>
      </c>
      <c r="E187" s="33">
        <v>1</v>
      </c>
      <c r="F187" s="34">
        <v>8</v>
      </c>
      <c r="G187" s="59" t="s">
        <v>552</v>
      </c>
      <c r="H187" s="60" t="s">
        <v>553</v>
      </c>
      <c r="I187" s="88">
        <v>3</v>
      </c>
      <c r="J187" s="88" t="s">
        <v>485</v>
      </c>
      <c r="K187" s="38">
        <v>498.2</v>
      </c>
      <c r="L187" s="44"/>
      <c r="M187" s="39">
        <f>SUMIFS([1]!Tabla6[SALIDA],[1]!Tabla6[CODIGO],Tabla29[[#This Row],[CODIGO]])</f>
        <v>0</v>
      </c>
      <c r="N187" s="39">
        <f>SUMIFS([1]!Tabla6[ENTRADA],[1]!Tabla6[CODIGO],Tabla29[[#This Row],[CODIGO]])</f>
        <v>0</v>
      </c>
      <c r="O187" s="45">
        <f>Tabla29[[#This Row],[DISP]]-Tabla29[[#This Row],[SALIDA]]+Tabla29[[#This Row],[ENTRADA]]</f>
        <v>3</v>
      </c>
      <c r="P187" s="29">
        <f>IFERROR(VLOOKUP(Tabla29[[#This Row],[CODIGO]],[1]!Tabla6[[CODIGO]:[PRECIO VENTA]],9,0),0)</f>
        <v>0</v>
      </c>
      <c r="Q187" s="29">
        <f>IFERROR(Tabla29[[#This Row],[PRECIO DETAL USD]]*0.8,0)</f>
        <v>398.56</v>
      </c>
      <c r="R187" s="30">
        <f>IFERROR([1]!Tabla2[[#This Row],[STOCK]]*[1]!Tabla2[[#This Row],[COSTO]],0)</f>
        <v>133.6</v>
      </c>
    </row>
    <row r="188" spans="1:18" ht="15" customHeight="1" x14ac:dyDescent="0.4">
      <c r="A188" s="41">
        <v>21</v>
      </c>
      <c r="B188" s="32"/>
      <c r="C188" s="32"/>
      <c r="D188" s="33"/>
      <c r="E188" s="33"/>
      <c r="F188" s="34"/>
      <c r="G188" s="23" t="s">
        <v>554</v>
      </c>
      <c r="H188" s="24"/>
      <c r="I188" s="22"/>
      <c r="J188" s="25"/>
      <c r="K188" s="26" t="s">
        <v>20</v>
      </c>
      <c r="L188" s="22"/>
      <c r="M188" s="22"/>
      <c r="N188" s="22"/>
      <c r="O188" s="27" t="s">
        <v>21</v>
      </c>
      <c r="P188" s="29">
        <f>IFERROR(VLOOKUP(Tabla29[[#This Row],[CODIGO]],[1]!Tabla6[[CODIGO]:[PRECIO VENTA]],9,0),0)</f>
        <v>0</v>
      </c>
      <c r="Q188" s="29">
        <f>IFERROR(Tabla29[[#This Row],[PRECIO DETAL USD]]*0.8,0)</f>
        <v>0</v>
      </c>
      <c r="R188" s="30">
        <f>IFERROR([1]!Tabla2[[#This Row],[STOCK]]*[1]!Tabla2[[#This Row],[COSTO]],0)</f>
        <v>0</v>
      </c>
    </row>
    <row r="189" spans="1:18" ht="15" customHeight="1" x14ac:dyDescent="0.35">
      <c r="A189" s="42" t="s">
        <v>555</v>
      </c>
      <c r="B189" s="32" t="s">
        <v>556</v>
      </c>
      <c r="C189" s="32" t="s">
        <v>482</v>
      </c>
      <c r="D189" s="33">
        <v>3</v>
      </c>
      <c r="E189" s="33">
        <v>2</v>
      </c>
      <c r="F189" s="34">
        <v>5</v>
      </c>
      <c r="G189" s="59" t="s">
        <v>557</v>
      </c>
      <c r="H189" s="60" t="s">
        <v>558</v>
      </c>
      <c r="I189" s="88">
        <v>651</v>
      </c>
      <c r="J189" s="88" t="s">
        <v>485</v>
      </c>
      <c r="K189" s="38">
        <v>31.8</v>
      </c>
      <c r="L189" s="38">
        <v>32.58</v>
      </c>
      <c r="M189" s="39">
        <f>SUMIFS([1]!Tabla6[SALIDA],[1]!Tabla6[CODIGO],Tabla29[[#This Row],[CODIGO]])</f>
        <v>565</v>
      </c>
      <c r="N189" s="39">
        <f>SUMIFS([1]!Tabla6[ENTRADA],[1]!Tabla6[CODIGO],Tabla29[[#This Row],[CODIGO]])</f>
        <v>0</v>
      </c>
      <c r="O189" s="45">
        <f>Tabla29[[#This Row],[DISP]]-Tabla29[[#This Row],[SALIDA]]+Tabla29[[#This Row],[ENTRADA]]</f>
        <v>86</v>
      </c>
      <c r="P189" s="29">
        <f>IFERROR(VLOOKUP(Tabla29[[#This Row],[CODIGO]],[1]!Tabla6[[CODIGO]:[PRECIO VENTA]],9,0),0)</f>
        <v>0</v>
      </c>
      <c r="Q189" s="29">
        <f>IFERROR(Tabla29[[#This Row],[PRECIO DETAL USD]]*0.8,0)</f>
        <v>25.44</v>
      </c>
      <c r="R189" s="30">
        <f>IFERROR([1]!Tabla2[[#This Row],[STOCK]]*[1]!Tabla2[[#This Row],[COSTO]],0)</f>
        <v>0</v>
      </c>
    </row>
    <row r="190" spans="1:18" ht="15" customHeight="1" x14ac:dyDescent="0.35">
      <c r="A190" s="42" t="s">
        <v>559</v>
      </c>
      <c r="B190" s="48"/>
      <c r="C190" s="48"/>
      <c r="D190" s="49"/>
      <c r="E190" s="49"/>
      <c r="F190" s="50"/>
      <c r="G190" s="59" t="s">
        <v>560</v>
      </c>
      <c r="H190" s="60" t="s">
        <v>561</v>
      </c>
      <c r="I190" s="51"/>
      <c r="J190" s="52" t="s">
        <v>485</v>
      </c>
      <c r="K190" s="53">
        <v>82.68</v>
      </c>
      <c r="L190" s="53"/>
      <c r="M190" s="45">
        <f>SUMIFS([1]!Tabla6[SALIDA],[1]!Tabla6[CODIGO],Tabla29[[#This Row],[CODIGO]])</f>
        <v>31</v>
      </c>
      <c r="N190" s="45">
        <f>SUMIFS([1]!Tabla6[ENTRADA],[1]!Tabla6[CODIGO],Tabla29[[#This Row],[CODIGO]])</f>
        <v>64</v>
      </c>
      <c r="O190" s="45">
        <f>Tabla29[[#This Row],[DISP]]-Tabla29[[#This Row],[SALIDA]]+Tabla29[[#This Row],[ENTRADA]]</f>
        <v>33</v>
      </c>
      <c r="P190" s="66">
        <f>IFERROR(VLOOKUP(Tabla29[[#This Row],[CODIGO]],[1]!Tabla6[[CODIGO]:[PRECIO VENTA]],9,0),0)</f>
        <v>0</v>
      </c>
      <c r="Q190" s="67">
        <f>IFERROR(Tabla29[[#This Row],[PRECIO DETAL USD]]*0.8,0)</f>
        <v>66.144000000000005</v>
      </c>
      <c r="R190" s="68">
        <f>IFERROR([1]!Tabla2[[#This Row],[STOCK]]*[1]!Tabla2[[#This Row],[COSTO]],0)</f>
        <v>3558.4</v>
      </c>
    </row>
    <row r="191" spans="1:18" ht="15" customHeight="1" x14ac:dyDescent="0.35">
      <c r="A191" s="42" t="s">
        <v>562</v>
      </c>
      <c r="B191" s="32" t="s">
        <v>556</v>
      </c>
      <c r="C191" s="32" t="s">
        <v>482</v>
      </c>
      <c r="D191" s="33">
        <v>3</v>
      </c>
      <c r="E191" s="33">
        <v>2</v>
      </c>
      <c r="F191" s="34">
        <v>1</v>
      </c>
      <c r="G191" s="59" t="s">
        <v>563</v>
      </c>
      <c r="H191" s="60" t="s">
        <v>564</v>
      </c>
      <c r="I191" s="88">
        <v>227</v>
      </c>
      <c r="J191" s="88" t="s">
        <v>485</v>
      </c>
      <c r="K191" s="38">
        <v>46.64</v>
      </c>
      <c r="L191" s="38"/>
      <c r="M191" s="39">
        <f>SUMIFS([1]!Tabla6[SALIDA],[1]!Tabla6[CODIGO],Tabla29[[#This Row],[CODIGO]])</f>
        <v>154</v>
      </c>
      <c r="N191" s="39">
        <f>SUMIFS([1]!Tabla6[ENTRADA],[1]!Tabla6[CODIGO],Tabla29[[#This Row],[CODIGO]])</f>
        <v>0</v>
      </c>
      <c r="O191" s="45">
        <f>Tabla29[[#This Row],[DISP]]-Tabla29[[#This Row],[SALIDA]]+Tabla29[[#This Row],[ENTRADA]]</f>
        <v>73</v>
      </c>
      <c r="P191" s="29">
        <f>IFERROR(VLOOKUP(Tabla29[[#This Row],[CODIGO]],[1]!Tabla6[[CODIGO]:[PRECIO VENTA]],9,0),0)</f>
        <v>0</v>
      </c>
      <c r="Q191" s="29">
        <f>IFERROR(Tabla29[[#This Row],[PRECIO DETAL USD]]*0.8,0)</f>
        <v>37.312000000000005</v>
      </c>
      <c r="R191" s="30">
        <f>IFERROR([1]!Tabla2[[#This Row],[STOCK]]*[1]!Tabla2[[#This Row],[COSTO]],0)</f>
        <v>11486.28</v>
      </c>
    </row>
    <row r="192" spans="1:18" ht="15" customHeight="1" x14ac:dyDescent="0.35">
      <c r="A192" s="42" t="s">
        <v>565</v>
      </c>
      <c r="B192" s="48"/>
      <c r="C192" s="48"/>
      <c r="D192" s="49"/>
      <c r="E192" s="49"/>
      <c r="F192" s="50"/>
      <c r="G192" s="59" t="s">
        <v>566</v>
      </c>
      <c r="H192" s="60" t="s">
        <v>567</v>
      </c>
      <c r="I192" s="51"/>
      <c r="J192" s="52" t="s">
        <v>485</v>
      </c>
      <c r="K192" s="53">
        <v>97.91</v>
      </c>
      <c r="L192" s="53"/>
      <c r="M192" s="45">
        <f>SUMIFS([1]!Tabla6[SALIDA],[1]!Tabla6[CODIGO],Tabla29[[#This Row],[CODIGO]])</f>
        <v>0</v>
      </c>
      <c r="N192" s="45">
        <f>SUMIFS([1]!Tabla6[ENTRADA],[1]!Tabla6[CODIGO],Tabla29[[#This Row],[CODIGO]])</f>
        <v>96</v>
      </c>
      <c r="O192" s="45">
        <f>Tabla29[[#This Row],[DISP]]-Tabla29[[#This Row],[SALIDA]]+Tabla29[[#This Row],[ENTRADA]]</f>
        <v>96</v>
      </c>
      <c r="P192" s="66">
        <f>IFERROR(VLOOKUP(Tabla29[[#This Row],[CODIGO]],[1]!Tabla6[[CODIGO]:[PRECIO VENTA]],9,0),0)</f>
        <v>0</v>
      </c>
      <c r="Q192" s="67">
        <f>IFERROR(Tabla29[[#This Row],[PRECIO DETAL USD]]*0.8,0)</f>
        <v>78.328000000000003</v>
      </c>
      <c r="R192" s="68">
        <f>IFERROR([1]!Tabla2[[#This Row],[STOCK]]*[1]!Tabla2[[#This Row],[COSTO]],0)</f>
        <v>0</v>
      </c>
    </row>
    <row r="193" spans="1:18" ht="15" customHeight="1" x14ac:dyDescent="0.35">
      <c r="A193" s="42" t="s">
        <v>568</v>
      </c>
      <c r="B193" s="32" t="s">
        <v>556</v>
      </c>
      <c r="C193" s="32" t="s">
        <v>482</v>
      </c>
      <c r="D193" s="33">
        <v>3</v>
      </c>
      <c r="E193" s="33">
        <v>2</v>
      </c>
      <c r="F193" s="34">
        <v>2</v>
      </c>
      <c r="G193" s="59" t="s">
        <v>569</v>
      </c>
      <c r="H193" s="60" t="s">
        <v>570</v>
      </c>
      <c r="I193" s="88">
        <v>20</v>
      </c>
      <c r="J193" s="88" t="s">
        <v>485</v>
      </c>
      <c r="K193" s="38">
        <v>59.36</v>
      </c>
      <c r="L193" s="38">
        <v>47.7</v>
      </c>
      <c r="M193" s="39">
        <f>SUMIFS([1]!Tabla6[SALIDA],[1]!Tabla6[CODIGO],Tabla29[[#This Row],[CODIGO]])</f>
        <v>75</v>
      </c>
      <c r="N193" s="39">
        <f>SUMIFS([1]!Tabla6[ENTRADA],[1]!Tabla6[CODIGO],Tabla29[[#This Row],[CODIGO]])</f>
        <v>143</v>
      </c>
      <c r="O193" s="45">
        <f>Tabla29[[#This Row],[DISP]]-Tabla29[[#This Row],[SALIDA]]+Tabla29[[#This Row],[ENTRADA]]</f>
        <v>88</v>
      </c>
      <c r="P193" s="29">
        <f>IFERROR(VLOOKUP(Tabla29[[#This Row],[CODIGO]],[1]!Tabla6[[CODIGO]:[PRECIO VENTA]],9,0),0)</f>
        <v>0</v>
      </c>
      <c r="Q193" s="29">
        <f>IFERROR(Tabla29[[#This Row],[PRECIO DETAL USD]]*0.8,0)</f>
        <v>47.488</v>
      </c>
      <c r="R193" s="30">
        <f>IFERROR([1]!Tabla2[[#This Row],[STOCK]]*[1]!Tabla2[[#This Row],[COSTO]],0)</f>
        <v>1289.6000000000001</v>
      </c>
    </row>
    <row r="194" spans="1:18" ht="15" customHeight="1" x14ac:dyDescent="0.35">
      <c r="A194" s="42" t="s">
        <v>571</v>
      </c>
      <c r="B194" s="48"/>
      <c r="C194" s="48"/>
      <c r="D194" s="49"/>
      <c r="E194" s="49"/>
      <c r="F194" s="50"/>
      <c r="G194" s="59" t="s">
        <v>572</v>
      </c>
      <c r="H194" s="60" t="s">
        <v>573</v>
      </c>
      <c r="I194" s="51"/>
      <c r="J194" s="52" t="s">
        <v>485</v>
      </c>
      <c r="K194" s="53">
        <v>124.76</v>
      </c>
      <c r="L194" s="53"/>
      <c r="M194" s="45">
        <f>SUMIFS([1]!Tabla6[SALIDA],[1]!Tabla6[CODIGO],Tabla29[[#This Row],[CODIGO]])</f>
        <v>37</v>
      </c>
      <c r="N194" s="45">
        <f>SUMIFS([1]!Tabla6[ENTRADA],[1]!Tabla6[CODIGO],Tabla29[[#This Row],[CODIGO]])</f>
        <v>44</v>
      </c>
      <c r="O194" s="45">
        <f>Tabla29[[#This Row],[DISP]]-Tabla29[[#This Row],[SALIDA]]+Tabla29[[#This Row],[ENTRADA]]</f>
        <v>7</v>
      </c>
      <c r="P194" s="66">
        <f>IFERROR(VLOOKUP(Tabla29[[#This Row],[CODIGO]],[1]!Tabla6[[CODIGO]:[PRECIO VENTA]],9,0),0)</f>
        <v>0</v>
      </c>
      <c r="Q194" s="67">
        <f>IFERROR(Tabla29[[#This Row],[PRECIO DETAL USD]]*0.8,0)</f>
        <v>99.808000000000007</v>
      </c>
      <c r="R194" s="68">
        <f>IFERROR([1]!Tabla2[[#This Row],[STOCK]]*[1]!Tabla2[[#This Row],[COSTO]],0)</f>
        <v>0</v>
      </c>
    </row>
    <row r="195" spans="1:18" ht="15" customHeight="1" x14ac:dyDescent="0.35">
      <c r="A195" s="42" t="s">
        <v>574</v>
      </c>
      <c r="B195" s="32" t="s">
        <v>556</v>
      </c>
      <c r="C195" s="32" t="s">
        <v>482</v>
      </c>
      <c r="D195" s="33">
        <v>3</v>
      </c>
      <c r="E195" s="33">
        <v>39</v>
      </c>
      <c r="F195" s="34">
        <v>1</v>
      </c>
      <c r="G195" s="59" t="s">
        <v>575</v>
      </c>
      <c r="H195" s="60" t="s">
        <v>576</v>
      </c>
      <c r="I195" s="88">
        <v>1164</v>
      </c>
      <c r="J195" s="88" t="s">
        <v>485</v>
      </c>
      <c r="K195" s="38">
        <v>20.14</v>
      </c>
      <c r="L195" s="44"/>
      <c r="M195" s="39">
        <f>SUMIFS([1]!Tabla6[SALIDA],[1]!Tabla6[CODIGO],Tabla29[[#This Row],[CODIGO]])</f>
        <v>54</v>
      </c>
      <c r="N195" s="39">
        <f>SUMIFS([1]!Tabla6[ENTRADA],[1]!Tabla6[CODIGO],Tabla29[[#This Row],[CODIGO]])</f>
        <v>0</v>
      </c>
      <c r="O195" s="45">
        <f>Tabla29[[#This Row],[DISP]]-Tabla29[[#This Row],[SALIDA]]+Tabla29[[#This Row],[ENTRADA]]</f>
        <v>1110</v>
      </c>
      <c r="P195" s="29">
        <f>IFERROR(VLOOKUP(Tabla29[[#This Row],[CODIGO]],[1]!Tabla6[[CODIGO]:[PRECIO VENTA]],9,0),0)</f>
        <v>0</v>
      </c>
      <c r="Q195" s="29">
        <f>IFERROR(Tabla29[[#This Row],[PRECIO DETAL USD]]*0.8,0)</f>
        <v>16.112000000000002</v>
      </c>
      <c r="R195" s="30">
        <f>IFERROR([1]!Tabla2[[#This Row],[STOCK]]*[1]!Tabla2[[#This Row],[COSTO]],0)</f>
        <v>2353.04</v>
      </c>
    </row>
    <row r="196" spans="1:18" ht="15" customHeight="1" x14ac:dyDescent="0.35">
      <c r="A196" s="42" t="s">
        <v>577</v>
      </c>
      <c r="B196" s="32" t="s">
        <v>556</v>
      </c>
      <c r="C196" s="32" t="s">
        <v>482</v>
      </c>
      <c r="D196" s="33">
        <v>3</v>
      </c>
      <c r="E196" s="33">
        <v>39</v>
      </c>
      <c r="F196" s="34">
        <v>2</v>
      </c>
      <c r="G196" s="59" t="s">
        <v>578</v>
      </c>
      <c r="H196" s="60" t="s">
        <v>579</v>
      </c>
      <c r="I196" s="88">
        <v>433</v>
      </c>
      <c r="J196" s="88" t="s">
        <v>485</v>
      </c>
      <c r="K196" s="38">
        <v>24.38</v>
      </c>
      <c r="L196" s="44"/>
      <c r="M196" s="39">
        <f>SUMIFS([1]!Tabla6[SALIDA],[1]!Tabla6[CODIGO],Tabla29[[#This Row],[CODIGO]])</f>
        <v>356</v>
      </c>
      <c r="N196" s="39">
        <f>SUMIFS([1]!Tabla6[ENTRADA],[1]!Tabla6[CODIGO],Tabla29[[#This Row],[CODIGO]])</f>
        <v>0</v>
      </c>
      <c r="O196" s="45">
        <f>Tabla29[[#This Row],[DISP]]-Tabla29[[#This Row],[SALIDA]]+Tabla29[[#This Row],[ENTRADA]]</f>
        <v>77</v>
      </c>
      <c r="P196" s="29">
        <f>IFERROR(VLOOKUP(Tabla29[[#This Row],[CODIGO]],[1]!Tabla6[[CODIGO]:[PRECIO VENTA]],9,0),0)</f>
        <v>0</v>
      </c>
      <c r="Q196" s="29">
        <f>IFERROR(Tabla29[[#This Row],[PRECIO DETAL USD]]*0.8,0)</f>
        <v>19.504000000000001</v>
      </c>
      <c r="R196" s="30">
        <f>IFERROR([1]!Tabla2[[#This Row],[STOCK]]*[1]!Tabla2[[#This Row],[COSTO]],0)</f>
        <v>0</v>
      </c>
    </row>
    <row r="197" spans="1:18" ht="15" customHeight="1" x14ac:dyDescent="0.35">
      <c r="A197" s="42" t="s">
        <v>580</v>
      </c>
      <c r="B197" s="32" t="s">
        <v>556</v>
      </c>
      <c r="C197" s="32" t="s">
        <v>482</v>
      </c>
      <c r="D197" s="33">
        <v>3</v>
      </c>
      <c r="E197" s="33">
        <v>39</v>
      </c>
      <c r="F197" s="34">
        <v>3</v>
      </c>
      <c r="G197" s="59" t="s">
        <v>581</v>
      </c>
      <c r="H197" s="60" t="s">
        <v>582</v>
      </c>
      <c r="I197" s="88">
        <v>199</v>
      </c>
      <c r="J197" s="88" t="s">
        <v>485</v>
      </c>
      <c r="K197" s="38">
        <v>38.159999999999997</v>
      </c>
      <c r="L197" s="44"/>
      <c r="M197" s="39">
        <f>SUMIFS([1]!Tabla6[SALIDA],[1]!Tabla6[CODIGO],Tabla29[[#This Row],[CODIGO]])</f>
        <v>55</v>
      </c>
      <c r="N197" s="39">
        <f>SUMIFS([1]!Tabla6[ENTRADA],[1]!Tabla6[CODIGO],Tabla29[[#This Row],[CODIGO]])</f>
        <v>0</v>
      </c>
      <c r="O197" s="45">
        <f>Tabla29[[#This Row],[DISP]]-Tabla29[[#This Row],[SALIDA]]+Tabla29[[#This Row],[ENTRADA]]</f>
        <v>144</v>
      </c>
      <c r="P197" s="29">
        <f>IFERROR(VLOOKUP(Tabla29[[#This Row],[CODIGO]],[1]!Tabla6[[CODIGO]:[PRECIO VENTA]],9,0),0)</f>
        <v>0</v>
      </c>
      <c r="Q197" s="29">
        <f>IFERROR(Tabla29[[#This Row],[PRECIO DETAL USD]]*0.8,0)</f>
        <v>30.527999999999999</v>
      </c>
      <c r="R197" s="30">
        <f>IFERROR([1]!Tabla2[[#This Row],[STOCK]]*[1]!Tabla2[[#This Row],[COSTO]],0)</f>
        <v>504.00000000000006</v>
      </c>
    </row>
    <row r="198" spans="1:18" x14ac:dyDescent="0.35">
      <c r="A198" s="42" t="s">
        <v>583</v>
      </c>
      <c r="B198" s="32" t="s">
        <v>556</v>
      </c>
      <c r="C198" s="32" t="s">
        <v>482</v>
      </c>
      <c r="D198" s="33">
        <v>3</v>
      </c>
      <c r="E198" s="33">
        <v>39</v>
      </c>
      <c r="F198" s="34">
        <v>4</v>
      </c>
      <c r="G198" s="59" t="s">
        <v>584</v>
      </c>
      <c r="H198" s="60" t="s">
        <v>585</v>
      </c>
      <c r="I198" s="88">
        <v>5</v>
      </c>
      <c r="J198" s="88" t="s">
        <v>485</v>
      </c>
      <c r="K198" s="38">
        <v>41.34</v>
      </c>
      <c r="L198" s="44"/>
      <c r="M198" s="39">
        <f>SUMIFS([1]!Tabla6[SALIDA],[1]!Tabla6[CODIGO],Tabla29[[#This Row],[CODIGO]])</f>
        <v>3</v>
      </c>
      <c r="N198" s="39">
        <f>SUMIFS([1]!Tabla6[ENTRADA],[1]!Tabla6[CODIGO],Tabla29[[#This Row],[CODIGO]])</f>
        <v>29</v>
      </c>
      <c r="O198" s="45">
        <f>Tabla29[[#This Row],[DISP]]-Tabla29[[#This Row],[SALIDA]]+Tabla29[[#This Row],[ENTRADA]]</f>
        <v>31</v>
      </c>
      <c r="P198" s="29">
        <f>IFERROR(VLOOKUP(Tabla29[[#This Row],[CODIGO]],[1]!Tabla6[[CODIGO]:[PRECIO VENTA]],9,0),0)</f>
        <v>0</v>
      </c>
      <c r="Q198" s="29">
        <f>IFERROR(Tabla29[[#This Row],[PRECIO DETAL USD]]*0.8,0)</f>
        <v>33.072000000000003</v>
      </c>
      <c r="R198" s="30">
        <f>IFERROR([1]!Tabla2[[#This Row],[STOCK]]*[1]!Tabla2[[#This Row],[COSTO]],0)</f>
        <v>516</v>
      </c>
    </row>
    <row r="199" spans="1:18" x14ac:dyDescent="0.35">
      <c r="A199" s="42" t="s">
        <v>586</v>
      </c>
      <c r="B199" s="32" t="s">
        <v>556</v>
      </c>
      <c r="C199" s="32" t="s">
        <v>482</v>
      </c>
      <c r="D199" s="33">
        <v>3</v>
      </c>
      <c r="E199" s="33">
        <v>39</v>
      </c>
      <c r="F199" s="34">
        <v>5</v>
      </c>
      <c r="G199" s="59" t="s">
        <v>587</v>
      </c>
      <c r="H199" s="60" t="s">
        <v>588</v>
      </c>
      <c r="I199" s="88">
        <v>123</v>
      </c>
      <c r="J199" s="88" t="s">
        <v>485</v>
      </c>
      <c r="K199" s="38">
        <v>50.88</v>
      </c>
      <c r="L199" s="38">
        <v>46.64</v>
      </c>
      <c r="M199" s="39">
        <f>SUMIFS([1]!Tabla6[SALIDA],[1]!Tabla6[CODIGO],Tabla29[[#This Row],[CODIGO]])</f>
        <v>13</v>
      </c>
      <c r="N199" s="39">
        <f>SUMIFS([1]!Tabla6[ENTRADA],[1]!Tabla6[CODIGO],Tabla29[[#This Row],[CODIGO]])</f>
        <v>0</v>
      </c>
      <c r="O199" s="45">
        <f>Tabla29[[#This Row],[DISP]]-Tabla29[[#This Row],[SALIDA]]+Tabla29[[#This Row],[ENTRADA]]</f>
        <v>110</v>
      </c>
      <c r="P199" s="29">
        <f>IFERROR(VLOOKUP(Tabla29[[#This Row],[CODIGO]],[1]!Tabla6[[CODIGO]:[PRECIO VENTA]],9,0),0)</f>
        <v>0</v>
      </c>
      <c r="Q199" s="29">
        <f>IFERROR(Tabla29[[#This Row],[PRECIO DETAL USD]]*0.8,0)</f>
        <v>40.704000000000008</v>
      </c>
      <c r="R199" s="30">
        <f>IFERROR([1]!Tabla2[[#This Row],[STOCK]]*[1]!Tabla2[[#This Row],[COSTO]],0)</f>
        <v>0</v>
      </c>
    </row>
    <row r="200" spans="1:18" x14ac:dyDescent="0.35">
      <c r="A200" s="42" t="s">
        <v>589</v>
      </c>
      <c r="B200" s="32"/>
      <c r="C200" s="32"/>
      <c r="D200" s="33">
        <v>3</v>
      </c>
      <c r="E200" s="33">
        <v>2</v>
      </c>
      <c r="F200" s="34">
        <v>6</v>
      </c>
      <c r="G200" s="59" t="s">
        <v>590</v>
      </c>
      <c r="H200" s="60" t="s">
        <v>591</v>
      </c>
      <c r="I200" s="37"/>
      <c r="J200" s="88" t="s">
        <v>485</v>
      </c>
      <c r="K200" s="38">
        <v>72.69</v>
      </c>
      <c r="L200" s="44"/>
      <c r="M200" s="39">
        <f>SUMIFS([1]!Tabla6[SALIDA],[1]!Tabla6[CODIGO],Tabla29[[#This Row],[CODIGO]])</f>
        <v>26</v>
      </c>
      <c r="N200" s="39">
        <f>SUMIFS([1]!Tabla6[ENTRADA],[1]!Tabla6[CODIGO],Tabla29[[#This Row],[CODIGO]])</f>
        <v>44</v>
      </c>
      <c r="O200" s="45">
        <f>Tabla29[[#This Row],[DISP]]-Tabla29[[#This Row],[SALIDA]]+Tabla29[[#This Row],[ENTRADA]]</f>
        <v>18</v>
      </c>
      <c r="P200" s="29">
        <f>IFERROR(VLOOKUP(Tabla29[[#This Row],[CODIGO]],[1]!Tabla6[[CODIGO]:[PRECIO VENTA]],9,0),0)</f>
        <v>73.972602739726028</v>
      </c>
      <c r="Q200" s="29">
        <f>IFERROR(Tabla29[[#This Row],[PRECIO DETAL USD]]*0.8,0)</f>
        <v>58.152000000000001</v>
      </c>
      <c r="R200" s="30">
        <f>IFERROR([1]!Tabla2[[#This Row],[STOCK]]*[1]!Tabla2[[#This Row],[COSTO]],0)</f>
        <v>1471.0800000000002</v>
      </c>
    </row>
    <row r="201" spans="1:18" hidden="1" x14ac:dyDescent="0.35">
      <c r="A201" s="42" t="s">
        <v>592</v>
      </c>
      <c r="B201" s="32" t="s">
        <v>556</v>
      </c>
      <c r="C201" s="32" t="s">
        <v>482</v>
      </c>
      <c r="D201" s="33">
        <v>3</v>
      </c>
      <c r="E201" s="33">
        <v>39</v>
      </c>
      <c r="F201" s="34">
        <v>6</v>
      </c>
      <c r="G201" s="35" t="s">
        <v>593</v>
      </c>
      <c r="H201" s="36" t="s">
        <v>594</v>
      </c>
      <c r="I201" s="88">
        <v>5</v>
      </c>
      <c r="J201" s="88" t="s">
        <v>485</v>
      </c>
      <c r="K201" s="38">
        <v>175</v>
      </c>
      <c r="L201" s="44"/>
      <c r="M201" s="39">
        <f>SUMIFS([1]!Tabla6[SALIDA],[1]!Tabla6[CODIGO],Tabla29[[#This Row],[CODIGO]])</f>
        <v>9</v>
      </c>
      <c r="N201" s="39">
        <f>SUMIFS([1]!Tabla6[ENTRADA],[1]!Tabla6[CODIGO],Tabla29[[#This Row],[CODIGO]])</f>
        <v>4</v>
      </c>
      <c r="O201" s="91">
        <f>Tabla29[[#This Row],[DISP]]-Tabla29[[#This Row],[SALIDA]]+Tabla29[[#This Row],[ENTRADA]]</f>
        <v>0</v>
      </c>
      <c r="P201" s="29">
        <f>IFERROR(VLOOKUP(Tabla29[[#This Row],[CODIGO]],[1]!Tabla6[[CODIGO]:[PRECIO VENTA]],9,0),0)</f>
        <v>0</v>
      </c>
      <c r="Q201" s="29">
        <f>IFERROR(Tabla29[[#This Row],[PRECIO DETAL USD]]*0.8,0)</f>
        <v>140</v>
      </c>
      <c r="R201" s="30">
        <f>IFERROR([1]!Tabla2[[#This Row],[STOCK]]*[1]!Tabla2[[#This Row],[COSTO]],0)</f>
        <v>0</v>
      </c>
    </row>
    <row r="202" spans="1:18" hidden="1" x14ac:dyDescent="0.35">
      <c r="A202" s="42" t="s">
        <v>595</v>
      </c>
      <c r="B202" s="32" t="s">
        <v>556</v>
      </c>
      <c r="C202" s="32" t="s">
        <v>482</v>
      </c>
      <c r="D202" s="33">
        <v>3</v>
      </c>
      <c r="E202" s="33">
        <v>39</v>
      </c>
      <c r="F202" s="34">
        <v>7</v>
      </c>
      <c r="G202" s="35" t="s">
        <v>596</v>
      </c>
      <c r="H202" s="36" t="s">
        <v>597</v>
      </c>
      <c r="I202" s="88">
        <v>2</v>
      </c>
      <c r="J202" s="88" t="s">
        <v>485</v>
      </c>
      <c r="K202" s="38">
        <v>87</v>
      </c>
      <c r="L202" s="44"/>
      <c r="M202" s="39">
        <f>SUMIFS([1]!Tabla6[SALIDA],[1]!Tabla6[CODIGO],Tabla29[[#This Row],[CODIGO]])</f>
        <v>2</v>
      </c>
      <c r="N202" s="39">
        <f>SUMIFS([1]!Tabla6[ENTRADA],[1]!Tabla6[CODIGO],Tabla29[[#This Row],[CODIGO]])</f>
        <v>0</v>
      </c>
      <c r="O202" s="91">
        <f>Tabla29[[#This Row],[DISP]]-Tabla29[[#This Row],[SALIDA]]+Tabla29[[#This Row],[ENTRADA]]</f>
        <v>0</v>
      </c>
      <c r="P202" s="29">
        <f>IFERROR(VLOOKUP(Tabla29[[#This Row],[CODIGO]],[1]!Tabla6[[CODIGO]:[PRECIO VENTA]],9,0),0)</f>
        <v>0</v>
      </c>
      <c r="Q202" s="29">
        <f>IFERROR(Tabla29[[#This Row],[PRECIO DETAL USD]]*0.8,0)</f>
        <v>69.600000000000009</v>
      </c>
      <c r="R202" s="30">
        <f>IFERROR([1]!Tabla2[[#This Row],[STOCK]]*[1]!Tabla2[[#This Row],[COSTO]],0)</f>
        <v>0</v>
      </c>
    </row>
    <row r="203" spans="1:18" ht="15" customHeight="1" x14ac:dyDescent="0.35">
      <c r="A203" s="42" t="s">
        <v>598</v>
      </c>
      <c r="B203" s="32" t="s">
        <v>556</v>
      </c>
      <c r="C203" s="32" t="s">
        <v>482</v>
      </c>
      <c r="D203" s="33">
        <v>3</v>
      </c>
      <c r="E203" s="33">
        <v>2</v>
      </c>
      <c r="F203" s="34">
        <v>3</v>
      </c>
      <c r="G203" s="59" t="s">
        <v>599</v>
      </c>
      <c r="H203" s="60" t="s">
        <v>600</v>
      </c>
      <c r="I203" s="88">
        <v>2</v>
      </c>
      <c r="J203" s="88" t="s">
        <v>485</v>
      </c>
      <c r="K203" s="38">
        <v>222.6</v>
      </c>
      <c r="L203" s="46"/>
      <c r="M203" s="39">
        <f>SUMIFS([1]!Tabla6[SALIDA],[1]!Tabla6[CODIGO],Tabla29[[#This Row],[CODIGO]])</f>
        <v>10</v>
      </c>
      <c r="N203" s="39">
        <f>SUMIFS([1]!Tabla6[ENTRADA],[1]!Tabla6[CODIGO],Tabla29[[#This Row],[CODIGO]])</f>
        <v>26</v>
      </c>
      <c r="O203" s="45">
        <f>Tabla29[[#This Row],[DISP]]-Tabla29[[#This Row],[SALIDA]]+Tabla29[[#This Row],[ENTRADA]]</f>
        <v>18</v>
      </c>
      <c r="P203" s="29">
        <f>IFERROR(VLOOKUP(Tabla29[[#This Row],[CODIGO]],[1]!Tabla6[[CODIGO]:[PRECIO VENTA]],9,0),0)</f>
        <v>220.77922077922076</v>
      </c>
      <c r="Q203" s="29">
        <f>IFERROR(Tabla29[[#This Row],[PRECIO DETAL USD]]*0.8,0)</f>
        <v>178.08</v>
      </c>
      <c r="R203" s="30">
        <f>IFERROR([1]!Tabla2[[#This Row],[STOCK]]*[1]!Tabla2[[#This Row],[COSTO]],0)</f>
        <v>27.880000000000003</v>
      </c>
    </row>
    <row r="204" spans="1:18" ht="15" customHeight="1" x14ac:dyDescent="0.35">
      <c r="A204" s="42" t="s">
        <v>601</v>
      </c>
      <c r="B204" s="56"/>
      <c r="C204" s="56"/>
      <c r="D204" s="57"/>
      <c r="E204" s="57"/>
      <c r="F204" s="58"/>
      <c r="G204" s="59" t="s">
        <v>602</v>
      </c>
      <c r="H204" s="60" t="s">
        <v>603</v>
      </c>
      <c r="I204" s="51"/>
      <c r="J204" s="52" t="s">
        <v>485</v>
      </c>
      <c r="K204" s="53">
        <v>259.64</v>
      </c>
      <c r="L204" s="63"/>
      <c r="M204" s="45">
        <f>SUMIFS([1]!Tabla6[SALIDA],[1]!Tabla6[CODIGO],Tabla29[[#This Row],[CODIGO]])</f>
        <v>0</v>
      </c>
      <c r="N204" s="45">
        <f>SUMIFS([1]!Tabla6[ENTRADA],[1]!Tabla6[CODIGO],Tabla29[[#This Row],[CODIGO]])</f>
        <v>24</v>
      </c>
      <c r="O204" s="45">
        <f>Tabla29[[#This Row],[DISP]]-Tabla29[[#This Row],[SALIDA]]+Tabla29[[#This Row],[ENTRADA]]</f>
        <v>24</v>
      </c>
      <c r="P204" s="61">
        <f>IFERROR(VLOOKUP(Tabla29[[#This Row],[CODIGO]],[1]!Tabla6[[CODIGO]:[PRECIO VENTA]],9,0),0)</f>
        <v>0</v>
      </c>
      <c r="Q204" s="29">
        <f>IFERROR(Tabla29[[#This Row],[PRECIO DETAL USD]]*0.8,0)</f>
        <v>207.71199999999999</v>
      </c>
      <c r="R204" s="62">
        <f>IFERROR([1]!Tabla2[[#This Row],[STOCK]]*[1]!Tabla2[[#This Row],[COSTO]],0)</f>
        <v>451.20000000000005</v>
      </c>
    </row>
    <row r="205" spans="1:18" ht="15" customHeight="1" x14ac:dyDescent="0.35">
      <c r="A205" s="42" t="s">
        <v>604</v>
      </c>
      <c r="B205" s="32" t="s">
        <v>556</v>
      </c>
      <c r="C205" s="32" t="s">
        <v>482</v>
      </c>
      <c r="D205" s="33">
        <v>3</v>
      </c>
      <c r="E205" s="33">
        <v>2</v>
      </c>
      <c r="F205" s="34">
        <v>4</v>
      </c>
      <c r="G205" s="59" t="s">
        <v>605</v>
      </c>
      <c r="H205" s="60" t="s">
        <v>606</v>
      </c>
      <c r="I205" s="88">
        <v>2</v>
      </c>
      <c r="J205" s="88" t="s">
        <v>485</v>
      </c>
      <c r="K205" s="38">
        <v>180.2</v>
      </c>
      <c r="L205" s="44"/>
      <c r="M205" s="39">
        <f>SUMIFS([1]!Tabla6[SALIDA],[1]!Tabla6[CODIGO],Tabla29[[#This Row],[CODIGO]])</f>
        <v>0</v>
      </c>
      <c r="N205" s="39">
        <f>SUMIFS([1]!Tabla6[ENTRADA],[1]!Tabla6[CODIGO],Tabla29[[#This Row],[CODIGO]])</f>
        <v>0</v>
      </c>
      <c r="O205" s="45">
        <f>Tabla29[[#This Row],[DISP]]-Tabla29[[#This Row],[SALIDA]]+Tabla29[[#This Row],[ENTRADA]]</f>
        <v>2</v>
      </c>
      <c r="P205" s="29">
        <f>IFERROR(VLOOKUP(Tabla29[[#This Row],[CODIGO]],[1]!Tabla6[[CODIGO]:[PRECIO VENTA]],9,0),0)</f>
        <v>0</v>
      </c>
      <c r="Q205" s="29">
        <f>IFERROR(Tabla29[[#This Row],[PRECIO DETAL USD]]*0.8,0)</f>
        <v>144.16</v>
      </c>
      <c r="R205" s="30">
        <f>IFERROR([1]!Tabla2[[#This Row],[STOCK]]*[1]!Tabla2[[#This Row],[COSTO]],0)</f>
        <v>187.68</v>
      </c>
    </row>
    <row r="206" spans="1:18" ht="15" customHeight="1" x14ac:dyDescent="0.4">
      <c r="A206" s="41">
        <v>22</v>
      </c>
      <c r="B206" s="32"/>
      <c r="C206" s="21"/>
      <c r="D206" s="22"/>
      <c r="E206" s="22"/>
      <c r="F206" s="22"/>
      <c r="G206" s="23" t="s">
        <v>607</v>
      </c>
      <c r="H206" s="24"/>
      <c r="I206" s="22"/>
      <c r="J206" s="25"/>
      <c r="K206" s="26" t="s">
        <v>20</v>
      </c>
      <c r="L206" s="22"/>
      <c r="M206" s="22"/>
      <c r="N206" s="22"/>
      <c r="O206" s="27" t="s">
        <v>21</v>
      </c>
      <c r="P206" s="28">
        <f>IFERROR(VLOOKUP(Tabla29[[#This Row],[CODIGO]],[1]!Tabla6[[CODIGO]:[PRECIO VENTA]],9,0),0)</f>
        <v>0</v>
      </c>
      <c r="Q206" s="29">
        <f>IFERROR(Tabla29[[#This Row],[PRECIO DETAL USD]]*0.8,0)</f>
        <v>0</v>
      </c>
      <c r="R206" s="30">
        <f>IFERROR([1]!Tabla2[[#This Row],[STOCK]]*[1]!Tabla2[[#This Row],[COSTO]],0)</f>
        <v>0</v>
      </c>
    </row>
    <row r="207" spans="1:18" ht="15" customHeight="1" x14ac:dyDescent="0.35">
      <c r="A207" s="42" t="s">
        <v>608</v>
      </c>
      <c r="B207" s="32" t="s">
        <v>609</v>
      </c>
      <c r="C207" s="32" t="s">
        <v>482</v>
      </c>
      <c r="D207" s="33">
        <v>2</v>
      </c>
      <c r="E207" s="33">
        <v>1</v>
      </c>
      <c r="F207" s="34">
        <v>3</v>
      </c>
      <c r="G207" s="59" t="s">
        <v>610</v>
      </c>
      <c r="H207" s="60" t="s">
        <v>611</v>
      </c>
      <c r="I207" s="43">
        <v>74</v>
      </c>
      <c r="J207" s="88" t="s">
        <v>485</v>
      </c>
      <c r="K207" s="38">
        <v>3.19</v>
      </c>
      <c r="L207" s="44"/>
      <c r="M207" s="39">
        <f>SUMIFS([1]!Tabla6[SALIDA],[1]!Tabla6[CODIGO],Tabla29[[#This Row],[CODIGO]])</f>
        <v>68</v>
      </c>
      <c r="N207" s="39">
        <f>SUMIFS([1]!Tabla6[ENTRADA],[1]!Tabla6[CODIGO],Tabla29[[#This Row],[CODIGO]])</f>
        <v>130</v>
      </c>
      <c r="O207" s="45">
        <f>Tabla29[[#This Row],[DISP]]-Tabla29[[#This Row],[SALIDA]]+Tabla29[[#This Row],[ENTRADA]]</f>
        <v>136</v>
      </c>
      <c r="P207" s="29">
        <f>IFERROR(VLOOKUP(Tabla29[[#This Row],[CODIGO]],[1]!Tabla6[[CODIGO]:[PRECIO VENTA]],9,0),0)</f>
        <v>3.0120481927710845</v>
      </c>
      <c r="Q207" s="29">
        <f>IFERROR(Tabla29[[#This Row],[PRECIO DETAL USD]]*0.8,0)</f>
        <v>2.552</v>
      </c>
      <c r="R207" s="30">
        <f>IFERROR([1]!Tabla2[[#This Row],[STOCK]]*[1]!Tabla2[[#This Row],[COSTO]],0)</f>
        <v>0</v>
      </c>
    </row>
    <row r="208" spans="1:18" x14ac:dyDescent="0.35">
      <c r="A208" s="42" t="s">
        <v>612</v>
      </c>
      <c r="B208" s="32" t="s">
        <v>609</v>
      </c>
      <c r="C208" s="32" t="s">
        <v>482</v>
      </c>
      <c r="D208" s="33">
        <v>2</v>
      </c>
      <c r="E208" s="33">
        <v>1</v>
      </c>
      <c r="F208" s="34">
        <v>9</v>
      </c>
      <c r="G208" s="59" t="s">
        <v>613</v>
      </c>
      <c r="H208" s="60" t="s">
        <v>614</v>
      </c>
      <c r="I208" s="43">
        <v>49</v>
      </c>
      <c r="J208" s="88" t="s">
        <v>485</v>
      </c>
      <c r="K208" s="38">
        <v>4.7699999999999996</v>
      </c>
      <c r="L208" s="44"/>
      <c r="M208" s="39">
        <f>SUMIFS([1]!Tabla6[SALIDA],[1]!Tabla6[CODIGO],Tabla29[[#This Row],[CODIGO]])</f>
        <v>46</v>
      </c>
      <c r="N208" s="39">
        <f>SUMIFS([1]!Tabla6[ENTRADA],[1]!Tabla6[CODIGO],Tabla29[[#This Row],[CODIGO]])</f>
        <v>0</v>
      </c>
      <c r="O208" s="45">
        <f>Tabla29[[#This Row],[DISP]]-Tabla29[[#This Row],[SALIDA]]+Tabla29[[#This Row],[ENTRADA]]</f>
        <v>3</v>
      </c>
      <c r="P208" s="29">
        <f>IFERROR(VLOOKUP(Tabla29[[#This Row],[CODIGO]],[1]!Tabla6[[CODIGO]:[PRECIO VENTA]],9,0),0)</f>
        <v>0</v>
      </c>
      <c r="Q208" s="29">
        <f>IFERROR(Tabla29[[#This Row],[PRECIO DETAL USD]]*0.8,0)</f>
        <v>3.8159999999999998</v>
      </c>
      <c r="R208" s="30">
        <f>IFERROR([1]!Tabla2[[#This Row],[STOCK]]*[1]!Tabla2[[#This Row],[COSTO]],0)</f>
        <v>0</v>
      </c>
    </row>
    <row r="209" spans="1:18" x14ac:dyDescent="0.35">
      <c r="A209" s="42" t="s">
        <v>615</v>
      </c>
      <c r="B209" s="56"/>
      <c r="C209" s="56"/>
      <c r="D209" s="57"/>
      <c r="E209" s="57"/>
      <c r="F209" s="58"/>
      <c r="G209" s="59" t="s">
        <v>616</v>
      </c>
      <c r="H209" s="60" t="s">
        <v>617</v>
      </c>
      <c r="I209" s="51"/>
      <c r="J209" s="52" t="s">
        <v>485</v>
      </c>
      <c r="K209" s="53">
        <v>4.87</v>
      </c>
      <c r="L209" s="64"/>
      <c r="M209" s="45">
        <f>SUMIFS([1]!Tabla6[SALIDA],[1]!Tabla6[CODIGO],Tabla29[[#This Row],[CODIGO]])</f>
        <v>0</v>
      </c>
      <c r="N209" s="45">
        <f>SUMIFS([1]!Tabla6[ENTRADA],[1]!Tabla6[CODIGO],Tabla29[[#This Row],[CODIGO]])</f>
        <v>200</v>
      </c>
      <c r="O209" s="45">
        <f>Tabla29[[#This Row],[DISP]]-Tabla29[[#This Row],[SALIDA]]+Tabla29[[#This Row],[ENTRADA]]</f>
        <v>200</v>
      </c>
      <c r="P209" s="61">
        <f>IFERROR(VLOOKUP(Tabla29[[#This Row],[CODIGO]],[1]!Tabla6[[CODIGO]:[PRECIO VENTA]],9,0),0)</f>
        <v>0</v>
      </c>
      <c r="Q209" s="29">
        <f>IFERROR(Tabla29[[#This Row],[PRECIO DETAL USD]]*0.8,0)</f>
        <v>3.8960000000000004</v>
      </c>
      <c r="R209" s="62">
        <f>IFERROR([1]!Tabla2[[#This Row],[STOCK]]*[1]!Tabla2[[#This Row],[COSTO]],0)</f>
        <v>0</v>
      </c>
    </row>
    <row r="210" spans="1:18" hidden="1" x14ac:dyDescent="0.35">
      <c r="A210" s="42" t="s">
        <v>618</v>
      </c>
      <c r="B210" s="32" t="s">
        <v>609</v>
      </c>
      <c r="C210" s="32" t="s">
        <v>482</v>
      </c>
      <c r="D210" s="33">
        <v>2</v>
      </c>
      <c r="E210" s="33">
        <v>1</v>
      </c>
      <c r="F210" s="34">
        <v>4</v>
      </c>
      <c r="G210" s="35" t="s">
        <v>619</v>
      </c>
      <c r="H210" s="36" t="s">
        <v>620</v>
      </c>
      <c r="I210" s="43">
        <v>95</v>
      </c>
      <c r="J210" s="88" t="s">
        <v>485</v>
      </c>
      <c r="K210" s="38">
        <v>6.07</v>
      </c>
      <c r="L210" s="44"/>
      <c r="M210" s="39">
        <f>SUMIFS([1]!Tabla6[SALIDA],[1]!Tabla6[CODIGO],Tabla29[[#This Row],[CODIGO]])</f>
        <v>95</v>
      </c>
      <c r="N210" s="39">
        <f>SUMIFS([1]!Tabla6[ENTRADA],[1]!Tabla6[CODIGO],Tabla29[[#This Row],[CODIGO]])</f>
        <v>0</v>
      </c>
      <c r="O210" s="45">
        <f>Tabla29[[#This Row],[DISP]]-Tabla29[[#This Row],[SALIDA]]+Tabla29[[#This Row],[ENTRADA]]</f>
        <v>0</v>
      </c>
      <c r="P210" s="29">
        <f>IFERROR(VLOOKUP(Tabla29[[#This Row],[CODIGO]],[1]!Tabla6[[CODIGO]:[PRECIO VENTA]],9,0),0)</f>
        <v>0</v>
      </c>
      <c r="Q210" s="29">
        <f>IFERROR(Tabla29[[#This Row],[PRECIO DETAL USD]]*0.8,0)</f>
        <v>4.8560000000000008</v>
      </c>
      <c r="R210" s="30">
        <f>IFERROR([1]!Tabla2[[#This Row],[STOCK]]*[1]!Tabla2[[#This Row],[COSTO]],0)</f>
        <v>0</v>
      </c>
    </row>
    <row r="211" spans="1:18" ht="15" customHeight="1" x14ac:dyDescent="0.35">
      <c r="A211" s="42" t="s">
        <v>621</v>
      </c>
      <c r="B211" s="32" t="s">
        <v>609</v>
      </c>
      <c r="C211" s="32" t="s">
        <v>482</v>
      </c>
      <c r="D211" s="33">
        <v>2</v>
      </c>
      <c r="E211" s="33">
        <v>1</v>
      </c>
      <c r="F211" s="34">
        <v>5</v>
      </c>
      <c r="G211" s="59" t="s">
        <v>622</v>
      </c>
      <c r="H211" s="60" t="s">
        <v>623</v>
      </c>
      <c r="I211" s="43">
        <v>199</v>
      </c>
      <c r="J211" s="88" t="s">
        <v>485</v>
      </c>
      <c r="K211" s="38">
        <v>7.25</v>
      </c>
      <c r="L211" s="44"/>
      <c r="M211" s="39">
        <f>SUMIFS([1]!Tabla6[SALIDA],[1]!Tabla6[CODIGO],Tabla29[[#This Row],[CODIGO]])</f>
        <v>153</v>
      </c>
      <c r="N211" s="39">
        <f>SUMIFS([1]!Tabla6[ENTRADA],[1]!Tabla6[CODIGO],Tabla29[[#This Row],[CODIGO]])</f>
        <v>0</v>
      </c>
      <c r="O211" s="45">
        <f>Tabla29[[#This Row],[DISP]]-Tabla29[[#This Row],[SALIDA]]+Tabla29[[#This Row],[ENTRADA]]</f>
        <v>46</v>
      </c>
      <c r="P211" s="29">
        <f>IFERROR(VLOOKUP(Tabla29[[#This Row],[CODIGO]],[1]!Tabla6[[CODIGO]:[PRECIO VENTA]],9,0),0)</f>
        <v>0</v>
      </c>
      <c r="Q211" s="29">
        <f>IFERROR(Tabla29[[#This Row],[PRECIO DETAL USD]]*0.8,0)</f>
        <v>5.8000000000000007</v>
      </c>
      <c r="R211" s="30">
        <f>IFERROR([1]!Tabla2[[#This Row],[STOCK]]*[1]!Tabla2[[#This Row],[COSTO]],0)</f>
        <v>504</v>
      </c>
    </row>
    <row r="212" spans="1:18" ht="15" customHeight="1" x14ac:dyDescent="0.35">
      <c r="A212" s="42" t="s">
        <v>624</v>
      </c>
      <c r="B212" s="56"/>
      <c r="C212" s="56"/>
      <c r="D212" s="57"/>
      <c r="E212" s="57"/>
      <c r="F212" s="58"/>
      <c r="G212" s="59" t="s">
        <v>625</v>
      </c>
      <c r="H212" s="60" t="s">
        <v>626</v>
      </c>
      <c r="I212" s="51"/>
      <c r="J212" s="52" t="s">
        <v>485</v>
      </c>
      <c r="K212" s="53">
        <v>12.79</v>
      </c>
      <c r="L212" s="64"/>
      <c r="M212" s="45">
        <f>SUMIFS([1]!Tabla6[SALIDA],[1]!Tabla6[CODIGO],Tabla29[[#This Row],[CODIGO]])</f>
        <v>68</v>
      </c>
      <c r="N212" s="45">
        <f>SUMIFS([1]!Tabla6[ENTRADA],[1]!Tabla6[CODIGO],Tabla29[[#This Row],[CODIGO]])</f>
        <v>100</v>
      </c>
      <c r="O212" s="45">
        <f>Tabla29[[#This Row],[DISP]]-Tabla29[[#This Row],[SALIDA]]+Tabla29[[#This Row],[ENTRADA]]</f>
        <v>32</v>
      </c>
      <c r="P212" s="61">
        <f>IFERROR(VLOOKUP(Tabla29[[#This Row],[CODIGO]],[1]!Tabla6[[CODIGO]:[PRECIO VENTA]],9,0),0)</f>
        <v>12.10843373493976</v>
      </c>
      <c r="Q212" s="29">
        <f>IFERROR(Tabla29[[#This Row],[PRECIO DETAL USD]]*0.8,0)</f>
        <v>10.231999999999999</v>
      </c>
      <c r="R212" s="30">
        <f>IFERROR([1]!Tabla2[[#This Row],[STOCK]]*[1]!Tabla2[[#This Row],[COSTO]],0)</f>
        <v>72</v>
      </c>
    </row>
    <row r="213" spans="1:18" ht="15" customHeight="1" x14ac:dyDescent="0.35">
      <c r="A213" s="42" t="s">
        <v>627</v>
      </c>
      <c r="B213" s="32"/>
      <c r="C213" s="32"/>
      <c r="D213" s="33">
        <v>2</v>
      </c>
      <c r="E213" s="33">
        <v>1</v>
      </c>
      <c r="F213" s="34">
        <v>1</v>
      </c>
      <c r="G213" s="59" t="s">
        <v>628</v>
      </c>
      <c r="H213" s="60" t="s">
        <v>629</v>
      </c>
      <c r="I213" s="43">
        <v>50</v>
      </c>
      <c r="J213" s="88" t="s">
        <v>485</v>
      </c>
      <c r="K213" s="38">
        <v>10.17</v>
      </c>
      <c r="L213" s="44"/>
      <c r="M213" s="39">
        <f>SUMIFS([1]!Tabla6[SALIDA],[1]!Tabla6[CODIGO],Tabla29[[#This Row],[CODIGO]])</f>
        <v>0</v>
      </c>
      <c r="N213" s="39">
        <f>SUMIFS([1]!Tabla6[ENTRADA],[1]!Tabla6[CODIGO],Tabla29[[#This Row],[CODIGO]])</f>
        <v>0</v>
      </c>
      <c r="O213" s="45">
        <f>Tabla29[[#This Row],[DISP]]-Tabla29[[#This Row],[SALIDA]]+Tabla29[[#This Row],[ENTRADA]]</f>
        <v>50</v>
      </c>
      <c r="P213" s="29">
        <f>IFERROR(VLOOKUP(Tabla29[[#This Row],[CODIGO]],[1]!Tabla6[[CODIGO]:[PRECIO VENTA]],9,0),0)</f>
        <v>0</v>
      </c>
      <c r="Q213" s="29">
        <f>IFERROR(Tabla29[[#This Row],[PRECIO DETAL USD]]*0.8,0)</f>
        <v>8.136000000000001</v>
      </c>
      <c r="R213" s="30">
        <f>IFERROR([1]!Tabla2[[#This Row],[STOCK]]*[1]!Tabla2[[#This Row],[COSTO]],0)</f>
        <v>4593.6000000000004</v>
      </c>
    </row>
    <row r="214" spans="1:18" ht="15" customHeight="1" x14ac:dyDescent="0.35">
      <c r="A214" s="42" t="s">
        <v>630</v>
      </c>
      <c r="B214" s="32" t="s">
        <v>609</v>
      </c>
      <c r="C214" s="32" t="s">
        <v>482</v>
      </c>
      <c r="D214" s="33">
        <v>2</v>
      </c>
      <c r="E214" s="33">
        <v>1</v>
      </c>
      <c r="F214" s="34">
        <v>2</v>
      </c>
      <c r="G214" s="59" t="s">
        <v>631</v>
      </c>
      <c r="H214" s="60" t="s">
        <v>632</v>
      </c>
      <c r="I214" s="43">
        <v>200</v>
      </c>
      <c r="J214" s="88" t="s">
        <v>485</v>
      </c>
      <c r="K214" s="38">
        <v>10.36</v>
      </c>
      <c r="L214" s="44"/>
      <c r="M214" s="39">
        <f>SUMIFS([1]!Tabla6[SALIDA],[1]!Tabla6[CODIGO],Tabla29[[#This Row],[CODIGO]])</f>
        <v>36</v>
      </c>
      <c r="N214" s="39">
        <f>SUMIFS([1]!Tabla6[ENTRADA],[1]!Tabla6[CODIGO],Tabla29[[#This Row],[CODIGO]])</f>
        <v>0</v>
      </c>
      <c r="O214" s="45">
        <f>Tabla29[[#This Row],[DISP]]-Tabla29[[#This Row],[SALIDA]]+Tabla29[[#This Row],[ENTRADA]]</f>
        <v>164</v>
      </c>
      <c r="P214" s="29">
        <f>IFERROR(VLOOKUP(Tabla29[[#This Row],[CODIGO]],[1]!Tabla6[[CODIGO]:[PRECIO VENTA]],9,0),0)</f>
        <v>0</v>
      </c>
      <c r="Q214" s="29">
        <f>IFERROR(Tabla29[[#This Row],[PRECIO DETAL USD]]*0.8,0)</f>
        <v>8.2880000000000003</v>
      </c>
      <c r="R214" s="30">
        <f>IFERROR([1]!Tabla2[[#This Row],[STOCK]]*[1]!Tabla2[[#This Row],[COSTO]],0)</f>
        <v>80</v>
      </c>
    </row>
    <row r="215" spans="1:18" x14ac:dyDescent="0.35">
      <c r="A215" s="42" t="s">
        <v>633</v>
      </c>
      <c r="B215" s="56"/>
      <c r="C215" s="56"/>
      <c r="D215" s="57"/>
      <c r="E215" s="57"/>
      <c r="F215" s="58"/>
      <c r="G215" s="59" t="s">
        <v>634</v>
      </c>
      <c r="H215" s="60" t="s">
        <v>635</v>
      </c>
      <c r="I215" s="51"/>
      <c r="J215" s="52" t="s">
        <v>485</v>
      </c>
      <c r="K215" s="53">
        <v>16.010000000000002</v>
      </c>
      <c r="L215" s="64"/>
      <c r="M215" s="45">
        <f>SUMIFS([1]!Tabla6[SALIDA],[1]!Tabla6[CODIGO],Tabla29[[#This Row],[CODIGO]])</f>
        <v>38</v>
      </c>
      <c r="N215" s="45">
        <f>SUMIFS([1]!Tabla6[ENTRADA],[1]!Tabla6[CODIGO],Tabla29[[#This Row],[CODIGO]])</f>
        <v>100</v>
      </c>
      <c r="O215" s="40">
        <f>Tabla29[[#This Row],[DISP]]-Tabla29[[#This Row],[SALIDA]]+Tabla29[[#This Row],[ENTRADA]]</f>
        <v>62</v>
      </c>
      <c r="P215" s="61">
        <f>IFERROR(VLOOKUP(Tabla29[[#This Row],[CODIGO]],[1]!Tabla6[[CODIGO]:[PRECIO VENTA]],9,0),0)</f>
        <v>15.108433734939759</v>
      </c>
      <c r="Q215" s="29">
        <f>IFERROR(Tabla29[[#This Row],[PRECIO DETAL USD]]*0.8,0)</f>
        <v>12.808000000000002</v>
      </c>
      <c r="R215" s="30">
        <f>IFERROR([1]!Tabla2[[#This Row],[STOCK]]*[1]!Tabla2[[#This Row],[COSTO]],0)</f>
        <v>120</v>
      </c>
    </row>
    <row r="216" spans="1:18" ht="15" customHeight="1" x14ac:dyDescent="0.35">
      <c r="A216" s="42" t="s">
        <v>636</v>
      </c>
      <c r="B216" s="56"/>
      <c r="C216" s="56"/>
      <c r="D216" s="57"/>
      <c r="E216" s="57"/>
      <c r="F216" s="58"/>
      <c r="G216" s="59" t="s">
        <v>637</v>
      </c>
      <c r="H216" s="60" t="s">
        <v>638</v>
      </c>
      <c r="I216" s="51"/>
      <c r="J216" s="52" t="s">
        <v>485</v>
      </c>
      <c r="K216" s="53">
        <v>7.97</v>
      </c>
      <c r="L216" s="64"/>
      <c r="M216" s="45">
        <f>SUMIFS([1]!Tabla6[SALIDA],[1]!Tabla6[CODIGO],Tabla29[[#This Row],[CODIGO]])</f>
        <v>30</v>
      </c>
      <c r="N216" s="45">
        <f>SUMIFS([1]!Tabla6[ENTRADA],[1]!Tabla6[CODIGO],Tabla29[[#This Row],[CODIGO]])</f>
        <v>100</v>
      </c>
      <c r="O216" s="40">
        <f>Tabla29[[#This Row],[DISP]]-Tabla29[[#This Row],[SALIDA]]+Tabla29[[#This Row],[ENTRADA]]</f>
        <v>70</v>
      </c>
      <c r="P216" s="61">
        <f>IFERROR(VLOOKUP(Tabla29[[#This Row],[CODIGO]],[1]!Tabla6[[CODIGO]:[PRECIO VENTA]],9,0),0)</f>
        <v>7.5180722891566267</v>
      </c>
      <c r="Q216" s="29">
        <f>IFERROR(Tabla29[[#This Row],[PRECIO DETAL USD]]*0.8,0)</f>
        <v>6.3760000000000003</v>
      </c>
      <c r="R216" s="30">
        <f>IFERROR([1]!Tabla2[[#This Row],[STOCK]]*[1]!Tabla2[[#This Row],[COSTO]],0)</f>
        <v>840</v>
      </c>
    </row>
    <row r="217" spans="1:18" ht="15" hidden="1" customHeight="1" x14ac:dyDescent="0.35">
      <c r="A217" s="42" t="s">
        <v>639</v>
      </c>
      <c r="B217" s="32"/>
      <c r="C217" s="32"/>
      <c r="D217" s="33">
        <v>2</v>
      </c>
      <c r="E217" s="33">
        <v>1</v>
      </c>
      <c r="F217" s="34">
        <v>2</v>
      </c>
      <c r="G217" s="35" t="s">
        <v>640</v>
      </c>
      <c r="H217" s="36" t="s">
        <v>641</v>
      </c>
      <c r="I217" s="37"/>
      <c r="J217" s="88" t="s">
        <v>485</v>
      </c>
      <c r="K217" s="38">
        <v>13.3</v>
      </c>
      <c r="L217" s="44"/>
      <c r="M217" s="39">
        <f>SUMIFS([1]!Tabla6[SALIDA],[1]!Tabla6[CODIGO],Tabla29[[#This Row],[CODIGO]])</f>
        <v>98</v>
      </c>
      <c r="N217" s="39">
        <f>SUMIFS([1]!Tabla6[ENTRADA],[1]!Tabla6[CODIGO],Tabla29[[#This Row],[CODIGO]])</f>
        <v>98</v>
      </c>
      <c r="O217" s="45">
        <f>Tabla29[[#This Row],[DISP]]-Tabla29[[#This Row],[SALIDA]]+Tabla29[[#This Row],[ENTRADA]]</f>
        <v>0</v>
      </c>
      <c r="P217" s="29">
        <f>IFERROR(VLOOKUP(Tabla29[[#This Row],[CODIGO]],[1]!Tabla6[[CODIGO]:[PRECIO VENTA]],9,0),0)</f>
        <v>14.038961038961039</v>
      </c>
      <c r="Q217" s="29">
        <f>IFERROR(Tabla29[[#This Row],[PRECIO DETAL USD]]*0.8,0)</f>
        <v>10.64</v>
      </c>
      <c r="R217" s="30">
        <f>IFERROR([1]!Tabla2[[#This Row],[STOCK]]*[1]!Tabla2[[#This Row],[COSTO]],0)</f>
        <v>7996.8</v>
      </c>
    </row>
    <row r="218" spans="1:18" hidden="1" x14ac:dyDescent="0.35">
      <c r="A218" s="42" t="s">
        <v>642</v>
      </c>
      <c r="B218" s="32" t="s">
        <v>609</v>
      </c>
      <c r="C218" s="32" t="s">
        <v>482</v>
      </c>
      <c r="D218" s="33">
        <v>2</v>
      </c>
      <c r="E218" s="33">
        <v>1</v>
      </c>
      <c r="F218" s="34">
        <v>6</v>
      </c>
      <c r="G218" s="35" t="s">
        <v>643</v>
      </c>
      <c r="H218" s="36" t="s">
        <v>644</v>
      </c>
      <c r="I218" s="43">
        <v>20</v>
      </c>
      <c r="J218" s="88" t="s">
        <v>485</v>
      </c>
      <c r="K218" s="38">
        <v>14</v>
      </c>
      <c r="L218" s="44"/>
      <c r="M218" s="39">
        <f>SUMIFS([1]!Tabla6[SALIDA],[1]!Tabla6[CODIGO],Tabla29[[#This Row],[CODIGO]])</f>
        <v>20</v>
      </c>
      <c r="N218" s="39">
        <f>SUMIFS([1]!Tabla6[ENTRADA],[1]!Tabla6[CODIGO],Tabla29[[#This Row],[CODIGO]])</f>
        <v>0</v>
      </c>
      <c r="O218" s="45">
        <f>Tabla29[[#This Row],[DISP]]-Tabla29[[#This Row],[SALIDA]]+Tabla29[[#This Row],[ENTRADA]]</f>
        <v>0</v>
      </c>
      <c r="P218" s="29">
        <f>IFERROR(VLOOKUP(Tabla29[[#This Row],[CODIGO]],[1]!Tabla6[[CODIGO]:[PRECIO VENTA]],9,0),0)</f>
        <v>0</v>
      </c>
      <c r="Q218" s="29">
        <f>IFERROR(Tabla29[[#This Row],[PRECIO DETAL USD]]*0.8,0)</f>
        <v>11.200000000000001</v>
      </c>
      <c r="R218" s="30">
        <f>IFERROR([1]!Tabla2[[#This Row],[STOCK]]*[1]!Tabla2[[#This Row],[COSTO]],0)</f>
        <v>0</v>
      </c>
    </row>
    <row r="219" spans="1:18" hidden="1" x14ac:dyDescent="0.35">
      <c r="A219" s="42" t="s">
        <v>645</v>
      </c>
      <c r="B219" s="32" t="s">
        <v>609</v>
      </c>
      <c r="C219" s="32" t="s">
        <v>482</v>
      </c>
      <c r="D219" s="33">
        <v>2</v>
      </c>
      <c r="E219" s="33">
        <v>1</v>
      </c>
      <c r="F219" s="34">
        <v>7</v>
      </c>
      <c r="G219" s="35" t="s">
        <v>646</v>
      </c>
      <c r="H219" s="36" t="s">
        <v>647</v>
      </c>
      <c r="I219" s="88">
        <v>3</v>
      </c>
      <c r="J219" s="88" t="s">
        <v>485</v>
      </c>
      <c r="K219" s="38">
        <v>15.6</v>
      </c>
      <c r="L219" s="44"/>
      <c r="M219" s="39">
        <f>SUMIFS([1]!Tabla6[SALIDA],[1]!Tabla6[CODIGO],Tabla29[[#This Row],[CODIGO]])</f>
        <v>3</v>
      </c>
      <c r="N219" s="39">
        <f>SUMIFS([1]!Tabla6[ENTRADA],[1]!Tabla6[CODIGO],Tabla29[[#This Row],[CODIGO]])</f>
        <v>0</v>
      </c>
      <c r="O219" s="39">
        <f>Tabla29[[#This Row],[DISP]]-Tabla29[[#This Row],[SALIDA]]+Tabla29[[#This Row],[ENTRADA]]</f>
        <v>0</v>
      </c>
      <c r="P219" s="29">
        <f>IFERROR(VLOOKUP(Tabla29[[#This Row],[CODIGO]],[1]!Tabla6[[CODIGO]:[PRECIO VENTA]],9,0),0)</f>
        <v>0</v>
      </c>
      <c r="Q219" s="29">
        <f>IFERROR(Tabla29[[#This Row],[PRECIO DETAL USD]]*0.8,0)</f>
        <v>12.48</v>
      </c>
      <c r="R219" s="30">
        <f>IFERROR([1]!Tabla2[[#This Row],[STOCK]]*[1]!Tabla2[[#This Row],[COSTO]],0)</f>
        <v>1797.1200000000001</v>
      </c>
    </row>
    <row r="220" spans="1:18" hidden="1" x14ac:dyDescent="0.35">
      <c r="A220" s="42" t="s">
        <v>648</v>
      </c>
      <c r="B220" s="56"/>
      <c r="C220" s="56"/>
      <c r="D220" s="57"/>
      <c r="E220" s="57"/>
      <c r="F220" s="58"/>
      <c r="G220" s="59" t="s">
        <v>649</v>
      </c>
      <c r="H220" s="36" t="s">
        <v>650</v>
      </c>
      <c r="I220" s="51"/>
      <c r="J220" s="52"/>
      <c r="K220" s="53"/>
      <c r="L220" s="64"/>
      <c r="M220" s="45">
        <f>SUMIFS([1]!Tabla6[SALIDA],[1]!Tabla6[CODIGO],Tabla29[[#This Row],[CODIGO]])</f>
        <v>0</v>
      </c>
      <c r="N220" s="45">
        <f>SUMIFS([1]!Tabla6[ENTRADA],[1]!Tabla6[CODIGO],Tabla29[[#This Row],[CODIGO]])</f>
        <v>0</v>
      </c>
      <c r="O220" s="45">
        <f>Tabla29[[#This Row],[DISP]]-Tabla29[[#This Row],[SALIDA]]+Tabla29[[#This Row],[ENTRADA]]</f>
        <v>0</v>
      </c>
      <c r="P220" s="61">
        <f>IFERROR(VLOOKUP(Tabla29[[#This Row],[CODIGO]],[1]!Tabla6[[CODIGO]:[PRECIO VENTA]],9,0),0)</f>
        <v>0</v>
      </c>
      <c r="Q220" s="29">
        <f>IFERROR(Tabla29[[#This Row],[PRECIO DETAL USD]]*0.8,0)</f>
        <v>0</v>
      </c>
      <c r="R220" s="62">
        <f>IFERROR([1]!Tabla2[[#This Row],[STOCK]]*[1]!Tabla2[[#This Row],[COSTO]],0)</f>
        <v>1330.52</v>
      </c>
    </row>
    <row r="221" spans="1:18" hidden="1" x14ac:dyDescent="0.35">
      <c r="A221" s="42" t="s">
        <v>651</v>
      </c>
      <c r="B221" s="48"/>
      <c r="C221" s="48"/>
      <c r="D221" s="49"/>
      <c r="E221" s="49"/>
      <c r="F221" s="50"/>
      <c r="G221" s="59" t="s">
        <v>652</v>
      </c>
      <c r="H221" s="60" t="s">
        <v>653</v>
      </c>
      <c r="I221" s="51"/>
      <c r="J221" s="52" t="s">
        <v>485</v>
      </c>
      <c r="K221" s="53">
        <v>19.350000000000001</v>
      </c>
      <c r="L221" s="65"/>
      <c r="M221" s="45">
        <f>SUMIFS([1]!Tabla6[SALIDA],[1]!Tabla6[CODIGO],Tabla29[[#This Row],[CODIGO]])</f>
        <v>98</v>
      </c>
      <c r="N221" s="45">
        <f>SUMIFS([1]!Tabla6[ENTRADA],[1]!Tabla6[CODIGO],Tabla29[[#This Row],[CODIGO]])</f>
        <v>98</v>
      </c>
      <c r="O221" s="45">
        <f>Tabla29[[#This Row],[DISP]]-Tabla29[[#This Row],[SALIDA]]+Tabla29[[#This Row],[ENTRADA]]</f>
        <v>0</v>
      </c>
      <c r="P221" s="66">
        <f>IFERROR(VLOOKUP(Tabla29[[#This Row],[CODIGO]],[1]!Tabla6[[CODIGO]:[PRECIO VENTA]],9,0),0)</f>
        <v>0</v>
      </c>
      <c r="Q221" s="67">
        <f>IFERROR(Tabla29[[#This Row],[PRECIO DETAL USD]]*0.8,0)</f>
        <v>15.480000000000002</v>
      </c>
      <c r="R221" s="68">
        <f>IFERROR([1]!Tabla2[[#This Row],[STOCK]]*[1]!Tabla2[[#This Row],[COSTO]],0)</f>
        <v>3155.04</v>
      </c>
    </row>
    <row r="222" spans="1:18" hidden="1" x14ac:dyDescent="0.35">
      <c r="A222" s="42" t="s">
        <v>654</v>
      </c>
      <c r="B222" s="32" t="s">
        <v>609</v>
      </c>
      <c r="C222" s="32" t="s">
        <v>482</v>
      </c>
      <c r="D222" s="33">
        <v>2</v>
      </c>
      <c r="E222" s="33">
        <v>1</v>
      </c>
      <c r="F222" s="34">
        <v>8</v>
      </c>
      <c r="G222" s="35" t="s">
        <v>655</v>
      </c>
      <c r="H222" s="36" t="s">
        <v>656</v>
      </c>
      <c r="I222" s="88">
        <v>7</v>
      </c>
      <c r="J222" s="88" t="s">
        <v>485</v>
      </c>
      <c r="K222" s="38">
        <v>22</v>
      </c>
      <c r="L222" s="44"/>
      <c r="M222" s="39">
        <f>SUMIFS([1]!Tabla6[SALIDA],[1]!Tabla6[CODIGO],Tabla29[[#This Row],[CODIGO]])</f>
        <v>7</v>
      </c>
      <c r="N222" s="39">
        <f>SUMIFS([1]!Tabla6[ENTRADA],[1]!Tabla6[CODIGO],Tabla29[[#This Row],[CODIGO]])</f>
        <v>0</v>
      </c>
      <c r="O222" s="40">
        <f>Tabla29[[#This Row],[DISP]]-Tabla29[[#This Row],[SALIDA]]+Tabla29[[#This Row],[ENTRADA]]</f>
        <v>0</v>
      </c>
      <c r="P222" s="29">
        <f>IFERROR(VLOOKUP(Tabla29[[#This Row],[CODIGO]],[1]!Tabla6[[CODIGO]:[PRECIO VENTA]],9,0),0)</f>
        <v>0</v>
      </c>
      <c r="Q222" s="29">
        <f>IFERROR(Tabla29[[#This Row],[PRECIO DETAL USD]]*0.8,0)</f>
        <v>17.600000000000001</v>
      </c>
      <c r="R222" s="30">
        <f>IFERROR([1]!Tabla2[[#This Row],[STOCK]]*[1]!Tabla2[[#This Row],[COSTO]],0)</f>
        <v>195.84</v>
      </c>
    </row>
    <row r="223" spans="1:18" x14ac:dyDescent="0.35">
      <c r="A223" s="42" t="s">
        <v>657</v>
      </c>
      <c r="B223" s="32" t="s">
        <v>609</v>
      </c>
      <c r="C223" s="32" t="s">
        <v>482</v>
      </c>
      <c r="D223" s="33">
        <v>2</v>
      </c>
      <c r="E223" s="33">
        <v>1</v>
      </c>
      <c r="F223" s="34">
        <v>10</v>
      </c>
      <c r="G223" s="59" t="s">
        <v>658</v>
      </c>
      <c r="H223" s="60" t="s">
        <v>659</v>
      </c>
      <c r="I223" s="88">
        <v>80</v>
      </c>
      <c r="J223" s="88" t="s">
        <v>485</v>
      </c>
      <c r="K223" s="38">
        <v>33.92</v>
      </c>
      <c r="L223" s="44"/>
      <c r="M223" s="39">
        <f>SUMIFS([1]!Tabla6[SALIDA],[1]!Tabla6[CODIGO],Tabla29[[#This Row],[CODIGO]])</f>
        <v>15</v>
      </c>
      <c r="N223" s="39">
        <f>SUMIFS([1]!Tabla6[ENTRADA],[1]!Tabla6[CODIGO],Tabla29[[#This Row],[CODIGO]])</f>
        <v>0</v>
      </c>
      <c r="O223" s="40">
        <f>Tabla29[[#This Row],[DISP]]-Tabla29[[#This Row],[SALIDA]]+Tabla29[[#This Row],[ENTRADA]]</f>
        <v>65</v>
      </c>
      <c r="P223" s="29">
        <f>IFERROR(VLOOKUP(Tabla29[[#This Row],[CODIGO]],[1]!Tabla6[[CODIGO]:[PRECIO VENTA]],9,0),0)</f>
        <v>0</v>
      </c>
      <c r="Q223" s="29">
        <f>IFERROR(Tabla29[[#This Row],[PRECIO DETAL USD]]*0.8,0)</f>
        <v>27.136000000000003</v>
      </c>
      <c r="R223" s="30">
        <f>IFERROR([1]!Tabla2[[#This Row],[STOCK]]*[1]!Tabla2[[#This Row],[COSTO]],0)</f>
        <v>2288.8307199999999</v>
      </c>
    </row>
    <row r="224" spans="1:18" ht="18.5" x14ac:dyDescent="0.4">
      <c r="A224" s="41">
        <v>23</v>
      </c>
      <c r="B224" s="32"/>
      <c r="C224" s="21"/>
      <c r="D224" s="22"/>
      <c r="E224" s="22"/>
      <c r="F224" s="22"/>
      <c r="G224" s="23" t="s">
        <v>660</v>
      </c>
      <c r="H224" s="24"/>
      <c r="I224" s="22"/>
      <c r="J224" s="25"/>
      <c r="K224" s="26" t="s">
        <v>20</v>
      </c>
      <c r="L224" s="22"/>
      <c r="M224" s="22"/>
      <c r="N224" s="22"/>
      <c r="O224" s="27" t="s">
        <v>21</v>
      </c>
      <c r="P224" s="29">
        <f>IFERROR(VLOOKUP(Tabla29[[#This Row],[CODIGO]],[1]!Tabla6[[CODIGO]:[PRECIO VENTA]],9,0),0)</f>
        <v>0</v>
      </c>
      <c r="Q224" s="29">
        <f>IFERROR(Tabla29[[#This Row],[PRECIO DETAL USD]]*0.8,0)</f>
        <v>0</v>
      </c>
      <c r="R224" s="30">
        <f>IFERROR([1]!Tabla2[[#This Row],[STOCK]]*[1]!Tabla2[[#This Row],[COSTO]],0)</f>
        <v>11.456000000000001</v>
      </c>
    </row>
    <row r="225" spans="1:18" ht="15" customHeight="1" x14ac:dyDescent="0.35">
      <c r="A225" s="42" t="s">
        <v>661</v>
      </c>
      <c r="B225" s="32" t="s">
        <v>609</v>
      </c>
      <c r="C225" s="32" t="s">
        <v>482</v>
      </c>
      <c r="D225" s="33">
        <v>2</v>
      </c>
      <c r="E225" s="33">
        <v>2</v>
      </c>
      <c r="F225" s="34">
        <v>1</v>
      </c>
      <c r="G225" s="59" t="s">
        <v>662</v>
      </c>
      <c r="H225" s="60" t="s">
        <v>663</v>
      </c>
      <c r="I225" s="43">
        <v>196</v>
      </c>
      <c r="J225" s="88" t="s">
        <v>485</v>
      </c>
      <c r="K225" s="38">
        <v>7.28</v>
      </c>
      <c r="L225" s="44"/>
      <c r="M225" s="39">
        <f>SUMIFS([1]!Tabla6[SALIDA],[1]!Tabla6[CODIGO],Tabla29[[#This Row],[CODIGO]])</f>
        <v>5</v>
      </c>
      <c r="N225" s="39">
        <f>SUMIFS([1]!Tabla6[ENTRADA],[1]!Tabla6[CODIGO],Tabla29[[#This Row],[CODIGO]])</f>
        <v>0</v>
      </c>
      <c r="O225" s="40">
        <f>Tabla29[[#This Row],[DISP]]-Tabla29[[#This Row],[SALIDA]]+Tabla29[[#This Row],[ENTRADA]]</f>
        <v>191</v>
      </c>
      <c r="P225" s="29">
        <f>IFERROR(VLOOKUP(Tabla29[[#This Row],[CODIGO]],[1]!Tabla6[[CODIGO]:[PRECIO VENTA]],9,0),0)</f>
        <v>0</v>
      </c>
      <c r="Q225" s="29">
        <f>IFERROR(Tabla29[[#This Row],[PRECIO DETAL USD]]*0.8,0)</f>
        <v>5.8240000000000007</v>
      </c>
      <c r="R225" s="30">
        <f>IFERROR([1]!Tabla2[[#This Row],[STOCK]]*[1]!Tabla2[[#This Row],[COSTO]],0)</f>
        <v>0</v>
      </c>
    </row>
    <row r="226" spans="1:18" ht="15" hidden="1" customHeight="1" x14ac:dyDescent="0.35">
      <c r="A226" s="42" t="s">
        <v>664</v>
      </c>
      <c r="B226" s="32" t="s">
        <v>665</v>
      </c>
      <c r="C226" s="32" t="s">
        <v>482</v>
      </c>
      <c r="D226" s="33">
        <v>2</v>
      </c>
      <c r="E226" s="33">
        <v>2</v>
      </c>
      <c r="F226" s="34">
        <v>3</v>
      </c>
      <c r="G226" s="35" t="s">
        <v>666</v>
      </c>
      <c r="H226" s="36" t="s">
        <v>667</v>
      </c>
      <c r="I226" s="88">
        <v>0</v>
      </c>
      <c r="J226" s="88" t="s">
        <v>485</v>
      </c>
      <c r="K226" s="38">
        <v>10.5</v>
      </c>
      <c r="L226" s="44"/>
      <c r="M226" s="39">
        <f>SUMIFS([1]!Tabla6[SALIDA],[1]!Tabla6[CODIGO],Tabla29[[#This Row],[CODIGO]])</f>
        <v>0</v>
      </c>
      <c r="N226" s="39">
        <f>SUMIFS([1]!Tabla6[ENTRADA],[1]!Tabla6[CODIGO],Tabla29[[#This Row],[CODIGO]])</f>
        <v>0</v>
      </c>
      <c r="O226" s="40">
        <f>Tabla29[[#This Row],[DISP]]-Tabla29[[#This Row],[SALIDA]]+Tabla29[[#This Row],[ENTRADA]]</f>
        <v>0</v>
      </c>
      <c r="P226" s="29">
        <f>IFERROR(VLOOKUP(Tabla29[[#This Row],[CODIGO]],[1]!Tabla6[[CODIGO]:[PRECIO VENTA]],9,0),0)</f>
        <v>0</v>
      </c>
      <c r="Q226" s="29">
        <f>IFERROR(Tabla29[[#This Row],[PRECIO DETAL USD]]*0.8,0)</f>
        <v>8.4</v>
      </c>
      <c r="R226" s="30">
        <f>IFERROR([1]!Tabla2[[#This Row],[STOCK]]*[1]!Tabla2[[#This Row],[COSTO]],0)</f>
        <v>0</v>
      </c>
    </row>
    <row r="227" spans="1:18" ht="15" customHeight="1" x14ac:dyDescent="0.35">
      <c r="A227" s="42" t="s">
        <v>668</v>
      </c>
      <c r="B227" s="32" t="s">
        <v>669</v>
      </c>
      <c r="C227" s="32" t="s">
        <v>482</v>
      </c>
      <c r="D227" s="33">
        <v>2</v>
      </c>
      <c r="E227" s="33">
        <v>2</v>
      </c>
      <c r="F227" s="34">
        <v>4</v>
      </c>
      <c r="G227" s="59" t="s">
        <v>670</v>
      </c>
      <c r="H227" s="60" t="s">
        <v>671</v>
      </c>
      <c r="I227" s="88">
        <v>953</v>
      </c>
      <c r="J227" s="88" t="s">
        <v>485</v>
      </c>
      <c r="K227" s="38">
        <v>8.3699999999999992</v>
      </c>
      <c r="L227" s="44"/>
      <c r="M227" s="39">
        <f>SUMIFS([1]!Tabla6[SALIDA],[1]!Tabla6[CODIGO],Tabla29[[#This Row],[CODIGO]])</f>
        <v>619</v>
      </c>
      <c r="N227" s="39">
        <f>SUMIFS([1]!Tabla6[ENTRADA],[1]!Tabla6[CODIGO],Tabla29[[#This Row],[CODIGO]])</f>
        <v>0</v>
      </c>
      <c r="O227" s="40">
        <f>Tabla29[[#This Row],[DISP]]-Tabla29[[#This Row],[SALIDA]]+Tabla29[[#This Row],[ENTRADA]]</f>
        <v>334</v>
      </c>
      <c r="P227" s="29">
        <f>IFERROR(VLOOKUP(Tabla29[[#This Row],[CODIGO]],[1]!Tabla6[[CODIGO]:[PRECIO VENTA]],9,0),0)</f>
        <v>0</v>
      </c>
      <c r="Q227" s="29">
        <f>IFERROR(Tabla29[[#This Row],[PRECIO DETAL USD]]*0.8,0)</f>
        <v>6.6959999999999997</v>
      </c>
      <c r="R227" s="30">
        <f>IFERROR([1]!Tabla2[[#This Row],[STOCK]]*[1]!Tabla2[[#This Row],[COSTO]],0)</f>
        <v>0</v>
      </c>
    </row>
    <row r="228" spans="1:18" x14ac:dyDescent="0.35">
      <c r="A228" s="42" t="s">
        <v>672</v>
      </c>
      <c r="B228" s="32" t="s">
        <v>669</v>
      </c>
      <c r="C228" s="32" t="s">
        <v>482</v>
      </c>
      <c r="D228" s="33">
        <v>2</v>
      </c>
      <c r="E228" s="33">
        <v>2</v>
      </c>
      <c r="F228" s="34">
        <v>5</v>
      </c>
      <c r="G228" s="59" t="s">
        <v>673</v>
      </c>
      <c r="H228" s="60" t="s">
        <v>674</v>
      </c>
      <c r="I228" s="88">
        <v>0</v>
      </c>
      <c r="J228" s="89" t="s">
        <v>485</v>
      </c>
      <c r="K228" s="53">
        <v>9.2200000000000006</v>
      </c>
      <c r="L228" s="90"/>
      <c r="M228" s="92">
        <f>SUMIFS([1]!Tabla6[SALIDA],[1]!Tabla6[CODIGO],Tabla29[[#This Row],[CODIGO]])</f>
        <v>1204</v>
      </c>
      <c r="N228" s="92">
        <f>SUMIFS([1]!Tabla6[ENTRADA],[1]!Tabla6[CODIGO],Tabla29[[#This Row],[CODIGO]])</f>
        <v>1512</v>
      </c>
      <c r="O228" s="40">
        <f>Tabla29[[#This Row],[DISP]]-Tabla29[[#This Row],[SALIDA]]+Tabla29[[#This Row],[ENTRADA]]</f>
        <v>308</v>
      </c>
      <c r="P228" s="29">
        <f>IFERROR(VLOOKUP(Tabla29[[#This Row],[CODIGO]],[1]!Tabla6[[CODIGO]:[PRECIO VENTA]],9,0),0)</f>
        <v>10.44155844155844</v>
      </c>
      <c r="Q228" s="29">
        <f>IFERROR(Tabla29[[#This Row],[PRECIO DETAL USD]]*0.8,0)</f>
        <v>7.3760000000000012</v>
      </c>
      <c r="R228" s="30">
        <f>IFERROR([1]!Tabla2[[#This Row],[STOCK]]*[1]!Tabla2[[#This Row],[COSTO]],0)</f>
        <v>409.94400000000007</v>
      </c>
    </row>
    <row r="229" spans="1:18" hidden="1" x14ac:dyDescent="0.35">
      <c r="A229" s="42" t="s">
        <v>675</v>
      </c>
      <c r="B229" s="32" t="s">
        <v>669</v>
      </c>
      <c r="C229" s="32" t="s">
        <v>482</v>
      </c>
      <c r="D229" s="33">
        <v>2</v>
      </c>
      <c r="E229" s="33">
        <v>2</v>
      </c>
      <c r="F229" s="34">
        <v>6</v>
      </c>
      <c r="G229" s="35" t="s">
        <v>676</v>
      </c>
      <c r="H229" s="36" t="s">
        <v>677</v>
      </c>
      <c r="I229" s="88">
        <v>0</v>
      </c>
      <c r="J229" s="88" t="s">
        <v>485</v>
      </c>
      <c r="K229" s="38">
        <v>10.9</v>
      </c>
      <c r="L229" s="44"/>
      <c r="M229" s="39">
        <f>SUMIFS([1]!Tabla6[SALIDA],[1]!Tabla6[CODIGO],Tabla29[[#This Row],[CODIGO]])</f>
        <v>0</v>
      </c>
      <c r="N229" s="39">
        <f>SUMIFS([1]!Tabla6[ENTRADA],[1]!Tabla6[CODIGO],Tabla29[[#This Row],[CODIGO]])</f>
        <v>0</v>
      </c>
      <c r="O229" s="40">
        <f>Tabla29[[#This Row],[DISP]]-Tabla29[[#This Row],[SALIDA]]+Tabla29[[#This Row],[ENTRADA]]</f>
        <v>0</v>
      </c>
      <c r="P229" s="29">
        <f>IFERROR(VLOOKUP(Tabla29[[#This Row],[CODIGO]],[1]!Tabla6[[CODIGO]:[PRECIO VENTA]],9,0),0)</f>
        <v>0</v>
      </c>
      <c r="Q229" s="29">
        <f>IFERROR(Tabla29[[#This Row],[PRECIO DETAL USD]]*0.8,0)</f>
        <v>8.7200000000000006</v>
      </c>
      <c r="R229" s="30">
        <f>IFERROR([1]!Tabla2[[#This Row],[STOCK]]*[1]!Tabla2[[#This Row],[COSTO]],0)</f>
        <v>239.04000000000002</v>
      </c>
    </row>
    <row r="230" spans="1:18" hidden="1" x14ac:dyDescent="0.35">
      <c r="A230" s="42" t="s">
        <v>678</v>
      </c>
      <c r="B230" s="32" t="s">
        <v>669</v>
      </c>
      <c r="C230" s="32" t="s">
        <v>482</v>
      </c>
      <c r="D230" s="33">
        <v>2</v>
      </c>
      <c r="E230" s="33">
        <v>2</v>
      </c>
      <c r="F230" s="34">
        <v>7</v>
      </c>
      <c r="G230" s="35" t="s">
        <v>679</v>
      </c>
      <c r="H230" s="36" t="s">
        <v>680</v>
      </c>
      <c r="I230" s="88">
        <v>5</v>
      </c>
      <c r="J230" s="88" t="s">
        <v>485</v>
      </c>
      <c r="K230" s="38">
        <v>14</v>
      </c>
      <c r="L230" s="44"/>
      <c r="M230" s="39">
        <f>SUMIFS([1]!Tabla6[SALIDA],[1]!Tabla6[CODIGO],Tabla29[[#This Row],[CODIGO]])</f>
        <v>5</v>
      </c>
      <c r="N230" s="39">
        <f>SUMIFS([1]!Tabla6[ENTRADA],[1]!Tabla6[CODIGO],Tabla29[[#This Row],[CODIGO]])</f>
        <v>0</v>
      </c>
      <c r="O230" s="40">
        <f>Tabla29[[#This Row],[DISP]]-Tabla29[[#This Row],[SALIDA]]+Tabla29[[#This Row],[ENTRADA]]</f>
        <v>0</v>
      </c>
      <c r="P230" s="29">
        <f>IFERROR(VLOOKUP(Tabla29[[#This Row],[CODIGO]],[1]!Tabla6[[CODIGO]:[PRECIO VENTA]],9,0),0)</f>
        <v>0</v>
      </c>
      <c r="Q230" s="29">
        <f>IFERROR(Tabla29[[#This Row],[PRECIO DETAL USD]]*0.8,0)</f>
        <v>11.200000000000001</v>
      </c>
      <c r="R230" s="30">
        <f>IFERROR([1]!Tabla2[[#This Row],[STOCK]]*[1]!Tabla2[[#This Row],[COSTO]],0)</f>
        <v>88</v>
      </c>
    </row>
    <row r="231" spans="1:18" x14ac:dyDescent="0.35">
      <c r="A231" s="42" t="s">
        <v>681</v>
      </c>
      <c r="B231" s="56"/>
      <c r="C231" s="56"/>
      <c r="D231" s="57"/>
      <c r="E231" s="57"/>
      <c r="F231" s="58"/>
      <c r="G231" s="59" t="s">
        <v>682</v>
      </c>
      <c r="H231" s="60" t="s">
        <v>683</v>
      </c>
      <c r="I231" s="51"/>
      <c r="J231" s="52" t="s">
        <v>485</v>
      </c>
      <c r="K231" s="53">
        <v>11.54</v>
      </c>
      <c r="L231" s="64"/>
      <c r="M231" s="45">
        <f>SUMIFS([1]!Tabla6[SALIDA],[1]!Tabla6[CODIGO],Tabla29[[#This Row],[CODIGO]])</f>
        <v>203.9</v>
      </c>
      <c r="N231" s="45">
        <f>SUMIFS([1]!Tabla6[ENTRADA],[1]!Tabla6[CODIGO],Tabla29[[#This Row],[CODIGO]])</f>
        <v>420</v>
      </c>
      <c r="O231" s="40">
        <f>Tabla29[[#This Row],[DISP]]-Tabla29[[#This Row],[SALIDA]]+Tabla29[[#This Row],[ENTRADA]]</f>
        <v>216.1</v>
      </c>
      <c r="P231" s="61">
        <f>IFERROR(VLOOKUP(Tabla29[[#This Row],[CODIGO]],[1]!Tabla6[[CODIGO]:[PRECIO VENTA]],9,0),0)</f>
        <v>10.89156626506024</v>
      </c>
      <c r="Q231" s="29">
        <f>IFERROR(Tabla29[[#This Row],[PRECIO DETAL USD]]*0.8,0)</f>
        <v>9.2319999999999993</v>
      </c>
      <c r="R231" s="30">
        <f>IFERROR([1]!Tabla2[[#This Row],[STOCK]]*[1]!Tabla2[[#This Row],[COSTO]],0)</f>
        <v>22</v>
      </c>
    </row>
    <row r="232" spans="1:18" hidden="1" x14ac:dyDescent="0.35">
      <c r="A232" s="42" t="s">
        <v>684</v>
      </c>
      <c r="B232" s="32" t="s">
        <v>669</v>
      </c>
      <c r="C232" s="32" t="s">
        <v>482</v>
      </c>
      <c r="D232" s="33">
        <v>2</v>
      </c>
      <c r="E232" s="33">
        <v>2</v>
      </c>
      <c r="F232" s="34">
        <v>2</v>
      </c>
      <c r="G232" s="35" t="s">
        <v>685</v>
      </c>
      <c r="H232" s="36" t="s">
        <v>686</v>
      </c>
      <c r="I232" s="43">
        <v>0</v>
      </c>
      <c r="J232" s="88" t="s">
        <v>485</v>
      </c>
      <c r="K232" s="38">
        <v>13.89</v>
      </c>
      <c r="L232" s="44"/>
      <c r="M232" s="39">
        <f>SUMIFS([1]!Tabla6[SALIDA],[1]!Tabla6[CODIGO],Tabla29[[#This Row],[CODIGO]])</f>
        <v>0</v>
      </c>
      <c r="N232" s="39">
        <f>SUMIFS([1]!Tabla6[ENTRADA],[1]!Tabla6[CODIGO],Tabla29[[#This Row],[CODIGO]])</f>
        <v>0</v>
      </c>
      <c r="O232" s="40">
        <f>Tabla29[[#This Row],[DISP]]-Tabla29[[#This Row],[SALIDA]]+Tabla29[[#This Row],[ENTRADA]]</f>
        <v>0</v>
      </c>
      <c r="P232" s="29">
        <f>IFERROR(VLOOKUP(Tabla29[[#This Row],[CODIGO]],[1]!Tabla6[[CODIGO]:[PRECIO VENTA]],9,0),0)</f>
        <v>0</v>
      </c>
      <c r="Q232" s="29">
        <f>IFERROR(Tabla29[[#This Row],[PRECIO DETAL USD]]*0.8,0)</f>
        <v>11.112000000000002</v>
      </c>
      <c r="R232" s="30">
        <f>IFERROR([1]!Tabla2[[#This Row],[STOCK]]*[1]!Tabla2[[#This Row],[COSTO]],0)</f>
        <v>44</v>
      </c>
    </row>
    <row r="233" spans="1:18" ht="15" customHeight="1" x14ac:dyDescent="0.35">
      <c r="A233" s="42" t="s">
        <v>687</v>
      </c>
      <c r="B233" s="32" t="s">
        <v>688</v>
      </c>
      <c r="C233" s="32" t="s">
        <v>482</v>
      </c>
      <c r="D233" s="33">
        <v>2</v>
      </c>
      <c r="E233" s="33">
        <v>2</v>
      </c>
      <c r="F233" s="34">
        <v>11</v>
      </c>
      <c r="G233" s="59" t="s">
        <v>689</v>
      </c>
      <c r="H233" s="60" t="s">
        <v>690</v>
      </c>
      <c r="I233" s="88">
        <v>0</v>
      </c>
      <c r="J233" s="88" t="s">
        <v>485</v>
      </c>
      <c r="K233" s="38">
        <v>14.2</v>
      </c>
      <c r="L233" s="44"/>
      <c r="M233" s="39">
        <f>SUMIFS([1]!Tabla6[SALIDA],[1]!Tabla6[CODIGO],Tabla29[[#This Row],[CODIGO]])</f>
        <v>58</v>
      </c>
      <c r="N233" s="39">
        <f>SUMIFS([1]!Tabla6[ENTRADA],[1]!Tabla6[CODIGO],Tabla29[[#This Row],[CODIGO]])</f>
        <v>74</v>
      </c>
      <c r="O233" s="40">
        <f>Tabla29[[#This Row],[DISP]]-Tabla29[[#This Row],[SALIDA]]+Tabla29[[#This Row],[ENTRADA]]</f>
        <v>16</v>
      </c>
      <c r="P233" s="29">
        <f>IFERROR(VLOOKUP(Tabla29[[#This Row],[CODIGO]],[1]!Tabla6[[CODIGO]:[PRECIO VENTA]],9,0),0)</f>
        <v>14.038961038961039</v>
      </c>
      <c r="Q233" s="29">
        <f>IFERROR(Tabla29[[#This Row],[PRECIO DETAL USD]]*0.8,0)</f>
        <v>11.36</v>
      </c>
      <c r="R233" s="30">
        <f>IFERROR([1]!Tabla2[[#This Row],[STOCK]]*[1]!Tabla2[[#This Row],[COSTO]],0)</f>
        <v>1316</v>
      </c>
    </row>
    <row r="234" spans="1:18" x14ac:dyDescent="0.35">
      <c r="A234" s="42" t="s">
        <v>691</v>
      </c>
      <c r="B234" s="32"/>
      <c r="C234" s="32"/>
      <c r="D234" s="33"/>
      <c r="E234" s="33"/>
      <c r="F234" s="34"/>
      <c r="G234" s="59" t="s">
        <v>692</v>
      </c>
      <c r="H234" s="60" t="s">
        <v>693</v>
      </c>
      <c r="I234" s="37"/>
      <c r="J234" s="88" t="s">
        <v>485</v>
      </c>
      <c r="K234" s="38">
        <v>13.1</v>
      </c>
      <c r="L234" s="44"/>
      <c r="M234" s="39">
        <f>SUMIFS([1]!Tabla6[SALIDA],[1]!Tabla6[CODIGO],Tabla29[[#This Row],[CODIGO]])</f>
        <v>950.36</v>
      </c>
      <c r="N234" s="39">
        <f>SUMIFS([1]!Tabla6[ENTRADA],[1]!Tabla6[CODIGO],Tabla29[[#This Row],[CODIGO]])</f>
        <v>2749</v>
      </c>
      <c r="O234" s="40">
        <f>Tabla29[[#This Row],[DISP]]-Tabla29[[#This Row],[SALIDA]]+Tabla29[[#This Row],[ENTRADA]]</f>
        <v>1798.6399999999999</v>
      </c>
      <c r="P234" s="29">
        <f>IFERROR(VLOOKUP(Tabla29[[#This Row],[CODIGO]],[1]!Tabla6[[CODIGO]:[PRECIO VENTA]],9,0),0)</f>
        <v>19.480519480519479</v>
      </c>
      <c r="Q234" s="29">
        <f>IFERROR(Tabla29[[#This Row],[PRECIO DETAL USD]]*0.8,0)</f>
        <v>10.48</v>
      </c>
      <c r="R234" s="30">
        <f>IFERROR([1]!Tabla2[[#This Row],[STOCK]]*[1]!Tabla2[[#This Row],[COSTO]],0)</f>
        <v>28</v>
      </c>
    </row>
    <row r="235" spans="1:18" x14ac:dyDescent="0.35">
      <c r="A235" s="42" t="s">
        <v>694</v>
      </c>
      <c r="B235" s="56"/>
      <c r="C235" s="56"/>
      <c r="D235" s="57"/>
      <c r="E235" s="57"/>
      <c r="F235" s="58"/>
      <c r="G235" s="59" t="s">
        <v>695</v>
      </c>
      <c r="H235" s="60" t="s">
        <v>696</v>
      </c>
      <c r="I235" s="51"/>
      <c r="J235" s="52" t="s">
        <v>485</v>
      </c>
      <c r="K235" s="53"/>
      <c r="L235" s="64"/>
      <c r="M235" s="45">
        <f>SUMIFS([1]!Tabla6[SALIDA],[1]!Tabla6[CODIGO],Tabla29[[#This Row],[CODIGO]])</f>
        <v>0</v>
      </c>
      <c r="N235" s="45">
        <f>SUMIFS([1]!Tabla6[ENTRADA],[1]!Tabla6[CODIGO],Tabla29[[#This Row],[CODIGO]])</f>
        <v>0</v>
      </c>
      <c r="O235" s="40">
        <f>Tabla29[[#This Row],[DISP]]-Tabla29[[#This Row],[SALIDA]]+Tabla29[[#This Row],[ENTRADA]]</f>
        <v>0</v>
      </c>
      <c r="P235" s="61">
        <f>IFERROR(VLOOKUP(Tabla29[[#This Row],[CODIGO]],[1]!Tabla6[[CODIGO]:[PRECIO VENTA]],9,0),0)</f>
        <v>0</v>
      </c>
      <c r="Q235" s="29">
        <f>IFERROR(Tabla29[[#This Row],[PRECIO DETAL USD]]*0.8,0)</f>
        <v>0</v>
      </c>
      <c r="R235" s="62">
        <f>IFERROR([1]!Tabla2[[#This Row],[STOCK]]*[1]!Tabla2[[#This Row],[COSTO]],0)</f>
        <v>112</v>
      </c>
    </row>
    <row r="236" spans="1:18" ht="15" customHeight="1" x14ac:dyDescent="0.35">
      <c r="A236" s="42" t="s">
        <v>697</v>
      </c>
      <c r="B236" s="56"/>
      <c r="C236" s="56"/>
      <c r="D236" s="57"/>
      <c r="E236" s="57"/>
      <c r="F236" s="58"/>
      <c r="G236" s="59" t="s">
        <v>698</v>
      </c>
      <c r="H236" s="60" t="s">
        <v>699</v>
      </c>
      <c r="I236" s="51"/>
      <c r="J236" s="52" t="s">
        <v>485</v>
      </c>
      <c r="K236" s="53">
        <v>26.66</v>
      </c>
      <c r="L236" s="64"/>
      <c r="M236" s="45">
        <f>SUMIFS([1]!Tabla6[SALIDA],[1]!Tabla6[CODIGO],Tabla29[[#This Row],[CODIGO]])</f>
        <v>24</v>
      </c>
      <c r="N236" s="45">
        <f>SUMIFS([1]!Tabla6[ENTRADA],[1]!Tabla6[CODIGO],Tabla29[[#This Row],[CODIGO]])</f>
        <v>48</v>
      </c>
      <c r="O236" s="40">
        <f>Tabla29[[#This Row],[DISP]]-Tabla29[[#This Row],[SALIDA]]+Tabla29[[#This Row],[ENTRADA]]</f>
        <v>24</v>
      </c>
      <c r="P236" s="61">
        <f>IFERROR(VLOOKUP(Tabla29[[#This Row],[CODIGO]],[1]!Tabla6[[CODIGO]:[PRECIO VENTA]],9,0),0)</f>
        <v>25.180722891566266</v>
      </c>
      <c r="Q236" s="29">
        <f>IFERROR(Tabla29[[#This Row],[PRECIO DETAL USD]]*0.8,0)</f>
        <v>21.328000000000003</v>
      </c>
      <c r="R236" s="30">
        <f>IFERROR([1]!Tabla2[[#This Row],[STOCK]]*[1]!Tabla2[[#This Row],[COSTO]],0)</f>
        <v>0</v>
      </c>
    </row>
    <row r="237" spans="1:18" ht="15" customHeight="1" x14ac:dyDescent="0.35">
      <c r="A237" s="42" t="s">
        <v>700</v>
      </c>
      <c r="B237" s="32" t="s">
        <v>669</v>
      </c>
      <c r="C237" s="32" t="s">
        <v>482</v>
      </c>
      <c r="D237" s="33">
        <v>2</v>
      </c>
      <c r="E237" s="33">
        <v>2</v>
      </c>
      <c r="F237" s="34">
        <v>8</v>
      </c>
      <c r="G237" s="59" t="s">
        <v>701</v>
      </c>
      <c r="H237" s="60" t="s">
        <v>702</v>
      </c>
      <c r="I237" s="88">
        <v>67</v>
      </c>
      <c r="J237" s="88" t="s">
        <v>485</v>
      </c>
      <c r="K237" s="38">
        <v>17.77</v>
      </c>
      <c r="L237" s="44"/>
      <c r="M237" s="39">
        <f>SUMIFS([1]!Tabla6[SALIDA],[1]!Tabla6[CODIGO],Tabla29[[#This Row],[CODIGO]])</f>
        <v>4</v>
      </c>
      <c r="N237" s="39">
        <f>SUMIFS([1]!Tabla6[ENTRADA],[1]!Tabla6[CODIGO],Tabla29[[#This Row],[CODIGO]])</f>
        <v>3</v>
      </c>
      <c r="O237" s="40">
        <f>Tabla29[[#This Row],[DISP]]-Tabla29[[#This Row],[SALIDA]]+Tabla29[[#This Row],[ENTRADA]]</f>
        <v>66</v>
      </c>
      <c r="P237" s="29">
        <f>IFERROR(VLOOKUP(Tabla29[[#This Row],[CODIGO]],[1]!Tabla6[[CODIGO]:[PRECIO VENTA]],9,0),0)</f>
        <v>0</v>
      </c>
      <c r="Q237" s="29">
        <f>IFERROR(Tabla29[[#This Row],[PRECIO DETAL USD]]*0.8,0)</f>
        <v>14.216000000000001</v>
      </c>
      <c r="R237" s="30">
        <f>IFERROR([1]!Tabla2[[#This Row],[STOCK]]*[1]!Tabla2[[#This Row],[COSTO]],0)</f>
        <v>153.60000000000002</v>
      </c>
    </row>
    <row r="238" spans="1:18" x14ac:dyDescent="0.35">
      <c r="A238" s="42" t="s">
        <v>703</v>
      </c>
      <c r="B238" s="32" t="s">
        <v>665</v>
      </c>
      <c r="C238" s="32" t="s">
        <v>482</v>
      </c>
      <c r="D238" s="33">
        <v>2</v>
      </c>
      <c r="E238" s="33">
        <v>39</v>
      </c>
      <c r="F238" s="34">
        <v>1</v>
      </c>
      <c r="G238" s="59" t="s">
        <v>704</v>
      </c>
      <c r="H238" s="60" t="s">
        <v>705</v>
      </c>
      <c r="I238" s="88">
        <v>12</v>
      </c>
      <c r="J238" s="88" t="s">
        <v>485</v>
      </c>
      <c r="K238" s="38">
        <v>15.79</v>
      </c>
      <c r="L238" s="44"/>
      <c r="M238" s="39">
        <f>SUMIFS([1]!Tabla6[SALIDA],[1]!Tabla6[CODIGO],Tabla29[[#This Row],[CODIGO]])</f>
        <v>0</v>
      </c>
      <c r="N238" s="39">
        <f>SUMIFS([1]!Tabla6[ENTRADA],[1]!Tabla6[CODIGO],Tabla29[[#This Row],[CODIGO]])</f>
        <v>0</v>
      </c>
      <c r="O238" s="40">
        <f>Tabla29[[#This Row],[DISP]]-Tabla29[[#This Row],[SALIDA]]+Tabla29[[#This Row],[ENTRADA]]</f>
        <v>12</v>
      </c>
      <c r="P238" s="29">
        <f>IFERROR(VLOOKUP(Tabla29[[#This Row],[CODIGO]],[1]!Tabla6[[CODIGO]:[PRECIO VENTA]],9,0),0)</f>
        <v>0</v>
      </c>
      <c r="Q238" s="29">
        <f>IFERROR(Tabla29[[#This Row],[PRECIO DETAL USD]]*0.8,0)</f>
        <v>12.632</v>
      </c>
      <c r="R238" s="30">
        <f>IFERROR([1]!Tabla2[[#This Row],[STOCK]]*[1]!Tabla2[[#This Row],[COSTO]],0)</f>
        <v>6526.64</v>
      </c>
    </row>
    <row r="239" spans="1:18" x14ac:dyDescent="0.35">
      <c r="A239" s="42" t="s">
        <v>706</v>
      </c>
      <c r="B239" s="32" t="s">
        <v>707</v>
      </c>
      <c r="C239" s="32" t="s">
        <v>482</v>
      </c>
      <c r="D239" s="33">
        <v>2</v>
      </c>
      <c r="E239" s="33">
        <v>2</v>
      </c>
      <c r="F239" s="34">
        <v>9</v>
      </c>
      <c r="G239" s="59" t="s">
        <v>708</v>
      </c>
      <c r="H239" s="60" t="s">
        <v>709</v>
      </c>
      <c r="I239" s="88">
        <v>0</v>
      </c>
      <c r="J239" s="88" t="s">
        <v>485</v>
      </c>
      <c r="K239" s="38">
        <v>22.89</v>
      </c>
      <c r="L239" s="44"/>
      <c r="M239" s="39">
        <f>SUMIFS([1]!Tabla6[SALIDA],[1]!Tabla6[CODIGO],Tabla29[[#This Row],[CODIGO]])</f>
        <v>23</v>
      </c>
      <c r="N239" s="39">
        <f>SUMIFS([1]!Tabla6[ENTRADA],[1]!Tabla6[CODIGO],Tabla29[[#This Row],[CODIGO]])</f>
        <v>43</v>
      </c>
      <c r="O239" s="40">
        <f>Tabla29[[#This Row],[DISP]]-Tabla29[[#This Row],[SALIDA]]+Tabla29[[#This Row],[ENTRADA]]</f>
        <v>20</v>
      </c>
      <c r="P239" s="29">
        <f>IFERROR(VLOOKUP(Tabla29[[#This Row],[CODIGO]],[1]!Tabla6[[CODIGO]:[PRECIO VENTA]],9,0),0)</f>
        <v>0</v>
      </c>
      <c r="Q239" s="29">
        <f>IFERROR(Tabla29[[#This Row],[PRECIO DETAL USD]]*0.8,0)</f>
        <v>18.312000000000001</v>
      </c>
      <c r="R239" s="30">
        <f>IFERROR([1]!Tabla2[[#This Row],[STOCK]]*[1]!Tabla2[[#This Row],[COSTO]],0)</f>
        <v>2400</v>
      </c>
    </row>
    <row r="240" spans="1:18" ht="15" customHeight="1" x14ac:dyDescent="0.35">
      <c r="A240" s="42" t="s">
        <v>710</v>
      </c>
      <c r="B240" s="32" t="s">
        <v>688</v>
      </c>
      <c r="C240" s="32" t="s">
        <v>482</v>
      </c>
      <c r="D240" s="33">
        <v>2</v>
      </c>
      <c r="E240" s="33">
        <v>2</v>
      </c>
      <c r="F240" s="34">
        <v>10</v>
      </c>
      <c r="G240" s="59" t="s">
        <v>711</v>
      </c>
      <c r="H240" s="60" t="s">
        <v>712</v>
      </c>
      <c r="I240" s="88">
        <v>13</v>
      </c>
      <c r="J240" s="88" t="s">
        <v>485</v>
      </c>
      <c r="K240" s="38">
        <v>24.38</v>
      </c>
      <c r="L240" s="44"/>
      <c r="M240" s="39">
        <f>SUMIFS([1]!Tabla6[SALIDA],[1]!Tabla6[CODIGO],Tabla29[[#This Row],[CODIGO]])</f>
        <v>34</v>
      </c>
      <c r="N240" s="39">
        <f>SUMIFS([1]!Tabla6[ENTRADA],[1]!Tabla6[CODIGO],Tabla29[[#This Row],[CODIGO]])</f>
        <v>71</v>
      </c>
      <c r="O240" s="40">
        <f>Tabla29[[#This Row],[DISP]]-Tabla29[[#This Row],[SALIDA]]+Tabla29[[#This Row],[ENTRADA]]</f>
        <v>50</v>
      </c>
      <c r="P240" s="29">
        <f>IFERROR(VLOOKUP(Tabla29[[#This Row],[CODIGO]],[1]!Tabla6[[CODIGO]:[PRECIO VENTA]],9,0),0)</f>
        <v>0</v>
      </c>
      <c r="Q240" s="29">
        <f>IFERROR(Tabla29[[#This Row],[PRECIO DETAL USD]]*0.8,0)</f>
        <v>19.504000000000001</v>
      </c>
      <c r="R240" s="30">
        <f>IFERROR([1]!Tabla2[[#This Row],[STOCK]]*[1]!Tabla2[[#This Row],[COSTO]],0)</f>
        <v>0</v>
      </c>
    </row>
    <row r="241" spans="1:18" ht="15" customHeight="1" x14ac:dyDescent="0.35">
      <c r="A241" s="42" t="s">
        <v>713</v>
      </c>
      <c r="B241" s="32"/>
      <c r="C241" s="32"/>
      <c r="D241" s="33">
        <v>2</v>
      </c>
      <c r="E241" s="33">
        <v>2</v>
      </c>
      <c r="F241" s="34">
        <v>13</v>
      </c>
      <c r="G241" s="59" t="s">
        <v>714</v>
      </c>
      <c r="H241" s="60" t="s">
        <v>715</v>
      </c>
      <c r="I241" s="37"/>
      <c r="J241" s="88" t="s">
        <v>485</v>
      </c>
      <c r="K241" s="38">
        <v>24.38</v>
      </c>
      <c r="L241" s="44"/>
      <c r="M241" s="39">
        <f>SUMIFS([1]!Tabla6[SALIDA],[1]!Tabla6[CODIGO],Tabla29[[#This Row],[CODIGO]])</f>
        <v>183</v>
      </c>
      <c r="N241" s="39">
        <f>SUMIFS([1]!Tabla6[ENTRADA],[1]!Tabla6[CODIGO],Tabla29[[#This Row],[CODIGO]])</f>
        <v>298</v>
      </c>
      <c r="O241" s="40">
        <f>Tabla29[[#This Row],[DISP]]-Tabla29[[#This Row],[SALIDA]]+Tabla29[[#This Row],[ENTRADA]]</f>
        <v>115</v>
      </c>
      <c r="P241" s="29">
        <f>IFERROR(VLOOKUP(Tabla29[[#This Row],[CODIGO]],[1]!Tabla6[[CODIGO]:[PRECIO VENTA]],9,0),0)</f>
        <v>26.467532467532465</v>
      </c>
      <c r="Q241" s="29">
        <f>IFERROR(Tabla29[[#This Row],[PRECIO DETAL USD]]*0.8,0)</f>
        <v>19.504000000000001</v>
      </c>
      <c r="R241" s="30">
        <f>IFERROR([1]!Tabla2[[#This Row],[STOCK]]*[1]!Tabla2[[#This Row],[COSTO]],0)</f>
        <v>0</v>
      </c>
    </row>
    <row r="242" spans="1:18" ht="15" customHeight="1" x14ac:dyDescent="0.4">
      <c r="A242" s="41">
        <v>24</v>
      </c>
      <c r="B242" s="32"/>
      <c r="C242" s="21"/>
      <c r="D242" s="22"/>
      <c r="E242" s="22"/>
      <c r="F242" s="22"/>
      <c r="G242" s="23" t="s">
        <v>716</v>
      </c>
      <c r="H242" s="24"/>
      <c r="I242" s="22"/>
      <c r="J242" s="25"/>
      <c r="K242" s="26" t="s">
        <v>20</v>
      </c>
      <c r="L242" s="22"/>
      <c r="M242" s="22"/>
      <c r="N242" s="22"/>
      <c r="O242" s="27" t="s">
        <v>21</v>
      </c>
      <c r="P242" s="28">
        <f>IFERROR(VLOOKUP(Tabla29[[#This Row],[CODIGO]],[1]!Tabla6[[CODIGO]:[PRECIO VENTA]],9,0),0)</f>
        <v>0</v>
      </c>
      <c r="Q242" s="29">
        <f>IFERROR(Tabla29[[#This Row],[PRECIO DETAL USD]]*0.8,0)</f>
        <v>0</v>
      </c>
      <c r="R242" s="30">
        <f>IFERROR([1]!Tabla2[[#This Row],[STOCK]]*[1]!Tabla2[[#This Row],[COSTO]],0)</f>
        <v>0</v>
      </c>
    </row>
    <row r="243" spans="1:18" ht="15" customHeight="1" x14ac:dyDescent="0.35">
      <c r="A243" s="42" t="s">
        <v>717</v>
      </c>
      <c r="B243" s="32" t="s">
        <v>556</v>
      </c>
      <c r="C243" s="32" t="s">
        <v>482</v>
      </c>
      <c r="D243" s="33">
        <v>4</v>
      </c>
      <c r="E243" s="33">
        <v>3</v>
      </c>
      <c r="F243" s="34">
        <v>1</v>
      </c>
      <c r="G243" s="59" t="s">
        <v>718</v>
      </c>
      <c r="H243" s="60" t="s">
        <v>719</v>
      </c>
      <c r="I243" s="43">
        <v>2216</v>
      </c>
      <c r="J243" s="88" t="s">
        <v>485</v>
      </c>
      <c r="K243" s="38">
        <v>12.72</v>
      </c>
      <c r="L243" s="38">
        <v>10.54</v>
      </c>
      <c r="M243" s="39">
        <f>SUMIFS([1]!Tabla6[SALIDA],[1]!Tabla6[CODIGO],Tabla29[[#This Row],[CODIGO]])</f>
        <v>16.66</v>
      </c>
      <c r="N243" s="39">
        <f>SUMIFS([1]!Tabla6[ENTRADA],[1]!Tabla6[CODIGO],Tabla29[[#This Row],[CODIGO]])</f>
        <v>0</v>
      </c>
      <c r="O243" s="40">
        <f>Tabla29[[#This Row],[DISP]]-Tabla29[[#This Row],[SALIDA]]+Tabla29[[#This Row],[ENTRADA]]</f>
        <v>2199.34</v>
      </c>
      <c r="P243" s="29">
        <f>IFERROR(VLOOKUP(Tabla29[[#This Row],[CODIGO]],[1]!Tabla6[[CODIGO]:[PRECIO VENTA]],9,0),0)</f>
        <v>0</v>
      </c>
      <c r="Q243" s="29">
        <f>IFERROR(Tabla29[[#This Row],[PRECIO DETAL USD]]*0.8,0)</f>
        <v>10.176000000000002</v>
      </c>
      <c r="R243" s="30">
        <f>IFERROR([1]!Tabla2[[#This Row],[STOCK]]*[1]!Tabla2[[#This Row],[COSTO]],0)</f>
        <v>7616</v>
      </c>
    </row>
    <row r="244" spans="1:18" ht="15" customHeight="1" x14ac:dyDescent="0.35">
      <c r="A244" s="42" t="s">
        <v>720</v>
      </c>
      <c r="B244" s="32" t="s">
        <v>556</v>
      </c>
      <c r="C244" s="32" t="s">
        <v>482</v>
      </c>
      <c r="D244" s="33">
        <v>4</v>
      </c>
      <c r="E244" s="33">
        <v>3</v>
      </c>
      <c r="F244" s="34">
        <v>2</v>
      </c>
      <c r="G244" s="59" t="s">
        <v>721</v>
      </c>
      <c r="H244" s="60" t="s">
        <v>722</v>
      </c>
      <c r="I244" s="43">
        <v>836</v>
      </c>
      <c r="J244" s="88" t="s">
        <v>485</v>
      </c>
      <c r="K244" s="38">
        <v>8.48</v>
      </c>
      <c r="L244" s="44"/>
      <c r="M244" s="39">
        <f>SUMIFS([1]!Tabla6[SALIDA],[1]!Tabla6[CODIGO],Tabla29[[#This Row],[CODIGO]])</f>
        <v>0</v>
      </c>
      <c r="N244" s="39">
        <f>SUMIFS([1]!Tabla6[ENTRADA],[1]!Tabla6[CODIGO],Tabla29[[#This Row],[CODIGO]])</f>
        <v>0</v>
      </c>
      <c r="O244" s="40">
        <f>Tabla29[[#This Row],[DISP]]-Tabla29[[#This Row],[SALIDA]]+Tabla29[[#This Row],[ENTRADA]]</f>
        <v>836</v>
      </c>
      <c r="P244" s="29">
        <f>IFERROR(VLOOKUP(Tabla29[[#This Row],[CODIGO]],[1]!Tabla6[[CODIGO]:[PRECIO VENTA]],9,0),0)</f>
        <v>0</v>
      </c>
      <c r="Q244" s="29">
        <f>IFERROR(Tabla29[[#This Row],[PRECIO DETAL USD]]*0.8,0)</f>
        <v>6.7840000000000007</v>
      </c>
      <c r="R244" s="30">
        <f>IFERROR([1]!Tabla2[[#This Row],[STOCK]]*[1]!Tabla2[[#This Row],[COSTO]],0)</f>
        <v>15679.2</v>
      </c>
    </row>
    <row r="245" spans="1:18" ht="15" customHeight="1" x14ac:dyDescent="0.35">
      <c r="A245" s="42" t="s">
        <v>723</v>
      </c>
      <c r="B245" s="32" t="s">
        <v>556</v>
      </c>
      <c r="C245" s="32" t="s">
        <v>482</v>
      </c>
      <c r="D245" s="33">
        <v>4</v>
      </c>
      <c r="E245" s="33">
        <v>3</v>
      </c>
      <c r="F245" s="34">
        <v>9</v>
      </c>
      <c r="G245" s="59" t="s">
        <v>724</v>
      </c>
      <c r="H245" s="60" t="s">
        <v>725</v>
      </c>
      <c r="I245" s="43">
        <v>34</v>
      </c>
      <c r="J245" s="88" t="s">
        <v>485</v>
      </c>
      <c r="K245" s="38">
        <v>9.2200000000000006</v>
      </c>
      <c r="L245" s="44"/>
      <c r="M245" s="39">
        <f>SUMIFS([1]!Tabla6[SALIDA],[1]!Tabla6[CODIGO],Tabla29[[#This Row],[CODIGO]])</f>
        <v>1</v>
      </c>
      <c r="N245" s="39">
        <f>SUMIFS([1]!Tabla6[ENTRADA],[1]!Tabla6[CODIGO],Tabla29[[#This Row],[CODIGO]])</f>
        <v>0</v>
      </c>
      <c r="O245" s="40">
        <f>Tabla29[[#This Row],[DISP]]-Tabla29[[#This Row],[SALIDA]]+Tabla29[[#This Row],[ENTRADA]]</f>
        <v>33</v>
      </c>
      <c r="P245" s="29">
        <f>IFERROR(VLOOKUP(Tabla29[[#This Row],[CODIGO]],[1]!Tabla6[[CODIGO]:[PRECIO VENTA]],9,0),0)</f>
        <v>0</v>
      </c>
      <c r="Q245" s="29">
        <f>IFERROR(Tabla29[[#This Row],[PRECIO DETAL USD]]*0.8,0)</f>
        <v>7.3760000000000012</v>
      </c>
      <c r="R245" s="30">
        <f>IFERROR([1]!Tabla2[[#This Row],[STOCK]]*[1]!Tabla2[[#This Row],[COSTO]],0)</f>
        <v>0</v>
      </c>
    </row>
    <row r="246" spans="1:18" ht="15" customHeight="1" x14ac:dyDescent="0.35">
      <c r="A246" s="42" t="s">
        <v>726</v>
      </c>
      <c r="B246" s="32" t="s">
        <v>556</v>
      </c>
      <c r="C246" s="32" t="s">
        <v>482</v>
      </c>
      <c r="D246" s="33">
        <v>4</v>
      </c>
      <c r="E246" s="33">
        <v>3</v>
      </c>
      <c r="F246" s="34">
        <v>5</v>
      </c>
      <c r="G246" s="59" t="s">
        <v>727</v>
      </c>
      <c r="H246" s="60" t="s">
        <v>728</v>
      </c>
      <c r="I246" s="43">
        <v>2711</v>
      </c>
      <c r="J246" s="88" t="s">
        <v>485</v>
      </c>
      <c r="K246" s="38">
        <v>18.02</v>
      </c>
      <c r="L246" s="38">
        <v>14.78</v>
      </c>
      <c r="M246" s="39">
        <f>SUMIFS([1]!Tabla6[SALIDA],[1]!Tabla6[CODIGO],Tabla29[[#This Row],[CODIGO]])</f>
        <v>43</v>
      </c>
      <c r="N246" s="39">
        <f>SUMIFS([1]!Tabla6[ENTRADA],[1]!Tabla6[CODIGO],Tabla29[[#This Row],[CODIGO]])</f>
        <v>0</v>
      </c>
      <c r="O246" s="40">
        <f>Tabla29[[#This Row],[DISP]]-Tabla29[[#This Row],[SALIDA]]+Tabla29[[#This Row],[ENTRADA]]</f>
        <v>2668</v>
      </c>
      <c r="P246" s="29">
        <f>IFERROR(VLOOKUP(Tabla29[[#This Row],[CODIGO]],[1]!Tabla6[[CODIGO]:[PRECIO VENTA]],9,0),0)</f>
        <v>0</v>
      </c>
      <c r="Q246" s="29">
        <f>IFERROR(Tabla29[[#This Row],[PRECIO DETAL USD]]*0.8,0)</f>
        <v>14.416</v>
      </c>
      <c r="R246" s="30">
        <f>IFERROR([1]!Tabla2[[#This Row],[STOCK]]*[1]!Tabla2[[#This Row],[COSTO]],0)</f>
        <v>0</v>
      </c>
    </row>
    <row r="247" spans="1:18" ht="15" customHeight="1" x14ac:dyDescent="0.35">
      <c r="A247" s="42" t="s">
        <v>729</v>
      </c>
      <c r="B247" s="32" t="s">
        <v>609</v>
      </c>
      <c r="C247" s="32" t="s">
        <v>482</v>
      </c>
      <c r="D247" s="33">
        <v>4</v>
      </c>
      <c r="E247" s="33">
        <v>3</v>
      </c>
      <c r="F247" s="34">
        <v>7</v>
      </c>
      <c r="G247" s="59" t="s">
        <v>730</v>
      </c>
      <c r="H247" s="60" t="s">
        <v>731</v>
      </c>
      <c r="I247" s="43">
        <v>157</v>
      </c>
      <c r="J247" s="88" t="s">
        <v>485</v>
      </c>
      <c r="K247" s="38">
        <v>27.56</v>
      </c>
      <c r="L247" s="38">
        <v>25.38</v>
      </c>
      <c r="M247" s="39">
        <f>SUMIFS([1]!Tabla6[SALIDA],[1]!Tabla6[CODIGO],Tabla29[[#This Row],[CODIGO]])</f>
        <v>39</v>
      </c>
      <c r="N247" s="39">
        <f>SUMIFS([1]!Tabla6[ENTRADA],[1]!Tabla6[CODIGO],Tabla29[[#This Row],[CODIGO]])</f>
        <v>0</v>
      </c>
      <c r="O247" s="40">
        <f>Tabla29[[#This Row],[DISP]]-Tabla29[[#This Row],[SALIDA]]+Tabla29[[#This Row],[ENTRADA]]</f>
        <v>118</v>
      </c>
      <c r="P247" s="29">
        <f>IFERROR(VLOOKUP(Tabla29[[#This Row],[CODIGO]],[1]!Tabla6[[CODIGO]:[PRECIO VENTA]],9,0),0)</f>
        <v>0</v>
      </c>
      <c r="Q247" s="29">
        <f>IFERROR(Tabla29[[#This Row],[PRECIO DETAL USD]]*0.8,0)</f>
        <v>22.048000000000002</v>
      </c>
      <c r="R247" s="30">
        <f>IFERROR([1]!Tabla2[[#This Row],[STOCK]]*[1]!Tabla2[[#This Row],[COSTO]],0)</f>
        <v>1188</v>
      </c>
    </row>
    <row r="248" spans="1:18" ht="15" customHeight="1" x14ac:dyDescent="0.35">
      <c r="A248" s="42" t="s">
        <v>732</v>
      </c>
      <c r="B248" s="32" t="s">
        <v>556</v>
      </c>
      <c r="C248" s="32" t="s">
        <v>482</v>
      </c>
      <c r="D248" s="33">
        <v>4</v>
      </c>
      <c r="E248" s="33">
        <v>3</v>
      </c>
      <c r="F248" s="34">
        <v>3</v>
      </c>
      <c r="G248" s="59" t="s">
        <v>733</v>
      </c>
      <c r="H248" s="60" t="s">
        <v>734</v>
      </c>
      <c r="I248" s="43">
        <v>3</v>
      </c>
      <c r="J248" s="88" t="s">
        <v>485</v>
      </c>
      <c r="K248" s="38">
        <v>62.54</v>
      </c>
      <c r="L248" s="38">
        <v>37.1</v>
      </c>
      <c r="M248" s="39">
        <f>SUMIFS([1]!Tabla6[SALIDA],[1]!Tabla6[CODIGO],Tabla29[[#This Row],[CODIGO]])</f>
        <v>0</v>
      </c>
      <c r="N248" s="39">
        <f>SUMIFS([1]!Tabla6[ENTRADA],[1]!Tabla6[CODIGO],Tabla29[[#This Row],[CODIGO]])</f>
        <v>0</v>
      </c>
      <c r="O248" s="40">
        <f>Tabla29[[#This Row],[DISP]]-Tabla29[[#This Row],[SALIDA]]+Tabla29[[#This Row],[ENTRADA]]</f>
        <v>3</v>
      </c>
      <c r="P248" s="29">
        <f>IFERROR(VLOOKUP(Tabla29[[#This Row],[CODIGO]],[1]!Tabla6[[CODIGO]:[PRECIO VENTA]],9,0),0)</f>
        <v>0</v>
      </c>
      <c r="Q248" s="29">
        <f>IFERROR(Tabla29[[#This Row],[PRECIO DETAL USD]]*0.8,0)</f>
        <v>50.032000000000004</v>
      </c>
      <c r="R248" s="30">
        <f>IFERROR([1]!Tabla2[[#This Row],[STOCK]]*[1]!Tabla2[[#This Row],[COSTO]],0)</f>
        <v>335.20088000000004</v>
      </c>
    </row>
    <row r="249" spans="1:18" ht="15" customHeight="1" x14ac:dyDescent="0.35">
      <c r="A249" s="42" t="s">
        <v>735</v>
      </c>
      <c r="B249" s="32" t="s">
        <v>556</v>
      </c>
      <c r="C249" s="32" t="s">
        <v>482</v>
      </c>
      <c r="D249" s="33">
        <v>4</v>
      </c>
      <c r="E249" s="33">
        <v>3</v>
      </c>
      <c r="F249" s="34">
        <v>4</v>
      </c>
      <c r="G249" s="59" t="s">
        <v>736</v>
      </c>
      <c r="H249" s="60" t="s">
        <v>737</v>
      </c>
      <c r="I249" s="43">
        <v>3</v>
      </c>
      <c r="J249" s="88" t="s">
        <v>485</v>
      </c>
      <c r="K249" s="38">
        <v>68.900000000000006</v>
      </c>
      <c r="L249" s="38">
        <v>47.7</v>
      </c>
      <c r="M249" s="39">
        <f>SUMIFS([1]!Tabla6[SALIDA],[1]!Tabla6[CODIGO],Tabla29[[#This Row],[CODIGO]])</f>
        <v>0</v>
      </c>
      <c r="N249" s="39">
        <f>SUMIFS([1]!Tabla6[ENTRADA],[1]!Tabla6[CODIGO],Tabla29[[#This Row],[CODIGO]])</f>
        <v>0</v>
      </c>
      <c r="O249" s="40">
        <f>Tabla29[[#This Row],[DISP]]-Tabla29[[#This Row],[SALIDA]]+Tabla29[[#This Row],[ENTRADA]]</f>
        <v>3</v>
      </c>
      <c r="P249" s="29">
        <f>IFERROR(VLOOKUP(Tabla29[[#This Row],[CODIGO]],[1]!Tabla6[[CODIGO]:[PRECIO VENTA]],9,0),0)</f>
        <v>0</v>
      </c>
      <c r="Q249" s="29">
        <f>IFERROR(Tabla29[[#This Row],[PRECIO DETAL USD]]*0.8,0)</f>
        <v>55.120000000000005</v>
      </c>
      <c r="R249" s="30">
        <f>IFERROR([1]!Tabla2[[#This Row],[STOCK]]*[1]!Tabla2[[#This Row],[COSTO]],0)</f>
        <v>1008.672</v>
      </c>
    </row>
    <row r="250" spans="1:18" ht="15" customHeight="1" x14ac:dyDescent="0.35">
      <c r="A250" s="42" t="s">
        <v>738</v>
      </c>
      <c r="B250" s="32"/>
      <c r="C250" s="32" t="s">
        <v>482</v>
      </c>
      <c r="D250" s="33">
        <v>4</v>
      </c>
      <c r="E250" s="33">
        <v>3</v>
      </c>
      <c r="F250" s="34">
        <v>6</v>
      </c>
      <c r="G250" s="59" t="s">
        <v>739</v>
      </c>
      <c r="H250" s="60" t="s">
        <v>740</v>
      </c>
      <c r="I250" s="43">
        <v>6</v>
      </c>
      <c r="J250" s="88" t="s">
        <v>485</v>
      </c>
      <c r="K250" s="38">
        <v>83.74</v>
      </c>
      <c r="L250" s="38">
        <v>63.6</v>
      </c>
      <c r="M250" s="39">
        <f>SUMIFS([1]!Tabla6[SALIDA],[1]!Tabla6[CODIGO],Tabla29[[#This Row],[CODIGO]])</f>
        <v>0</v>
      </c>
      <c r="N250" s="39">
        <f>SUMIFS([1]!Tabla6[ENTRADA],[1]!Tabla6[CODIGO],Tabla29[[#This Row],[CODIGO]])</f>
        <v>0</v>
      </c>
      <c r="O250" s="40">
        <f>Tabla29[[#This Row],[DISP]]-Tabla29[[#This Row],[SALIDA]]+Tabla29[[#This Row],[ENTRADA]]</f>
        <v>6</v>
      </c>
      <c r="P250" s="29">
        <f>IFERROR(VLOOKUP(Tabla29[[#This Row],[CODIGO]],[1]!Tabla6[[CODIGO]:[PRECIO VENTA]],9,0),0)</f>
        <v>0</v>
      </c>
      <c r="Q250" s="29">
        <f>IFERROR(Tabla29[[#This Row],[PRECIO DETAL USD]]*0.8,0)</f>
        <v>66.992000000000004</v>
      </c>
      <c r="R250" s="30">
        <f>IFERROR([1]!Tabla2[[#This Row],[STOCK]]*[1]!Tabla2[[#This Row],[COSTO]],0)</f>
        <v>1932.5919999999999</v>
      </c>
    </row>
    <row r="251" spans="1:18" x14ac:dyDescent="0.35">
      <c r="A251" s="42" t="s">
        <v>741</v>
      </c>
      <c r="B251" s="32" t="s">
        <v>609</v>
      </c>
      <c r="C251" s="32" t="s">
        <v>482</v>
      </c>
      <c r="D251" s="33">
        <v>4</v>
      </c>
      <c r="E251" s="33">
        <v>3</v>
      </c>
      <c r="F251" s="34">
        <v>8</v>
      </c>
      <c r="G251" s="59" t="s">
        <v>742</v>
      </c>
      <c r="H251" s="60" t="s">
        <v>743</v>
      </c>
      <c r="I251" s="43">
        <v>8</v>
      </c>
      <c r="J251" s="88" t="s">
        <v>485</v>
      </c>
      <c r="K251" s="38">
        <v>83.74</v>
      </c>
      <c r="L251" s="44"/>
      <c r="M251" s="39">
        <f>SUMIFS([1]!Tabla6[SALIDA],[1]!Tabla6[CODIGO],Tabla29[[#This Row],[CODIGO]])</f>
        <v>0</v>
      </c>
      <c r="N251" s="39">
        <f>SUMIFS([1]!Tabla6[ENTRADA],[1]!Tabla6[CODIGO],Tabla29[[#This Row],[CODIGO]])</f>
        <v>0</v>
      </c>
      <c r="O251" s="40">
        <f>Tabla29[[#This Row],[DISP]]-Tabla29[[#This Row],[SALIDA]]+Tabla29[[#This Row],[ENTRADA]]</f>
        <v>8</v>
      </c>
      <c r="P251" s="29">
        <f>IFERROR(VLOOKUP(Tabla29[[#This Row],[CODIGO]],[1]!Tabla6[[CODIGO]:[PRECIO VENTA]],9,0),0)</f>
        <v>0</v>
      </c>
      <c r="Q251" s="29">
        <f>IFERROR(Tabla29[[#This Row],[PRECIO DETAL USD]]*0.8,0)</f>
        <v>66.992000000000004</v>
      </c>
      <c r="R251" s="30">
        <f>IFERROR([1]!Tabla2[[#This Row],[STOCK]]*[1]!Tabla2[[#This Row],[COSTO]],0)</f>
        <v>97.216000000000008</v>
      </c>
    </row>
    <row r="252" spans="1:18" ht="18.5" x14ac:dyDescent="0.4">
      <c r="A252" s="41">
        <v>25</v>
      </c>
      <c r="B252" s="32"/>
      <c r="C252" s="21"/>
      <c r="D252" s="22"/>
      <c r="E252" s="22"/>
      <c r="F252" s="22"/>
      <c r="G252" s="23" t="s">
        <v>744</v>
      </c>
      <c r="H252" s="24"/>
      <c r="I252" s="22"/>
      <c r="J252" s="25"/>
      <c r="K252" s="26" t="s">
        <v>20</v>
      </c>
      <c r="L252" s="22"/>
      <c r="M252" s="22"/>
      <c r="N252" s="22"/>
      <c r="O252" s="27" t="s">
        <v>21</v>
      </c>
      <c r="P252" s="28">
        <f>IFERROR(VLOOKUP(Tabla29[[#This Row],[CODIGO]],[1]!Tabla6[[CODIGO]:[PRECIO VENTA]],9,0),0)</f>
        <v>0</v>
      </c>
      <c r="Q252" s="29">
        <f>IFERROR(Tabla29[[#This Row],[PRECIO DETAL USD]]*0.8,0)</f>
        <v>0</v>
      </c>
      <c r="R252" s="30">
        <f>IFERROR([1]!Tabla2[[#This Row],[STOCK]]*[1]!Tabla2[[#This Row],[COSTO]],0)</f>
        <v>0</v>
      </c>
    </row>
    <row r="253" spans="1:18" hidden="1" x14ac:dyDescent="0.35">
      <c r="A253" s="42" t="s">
        <v>745</v>
      </c>
      <c r="B253" s="32" t="s">
        <v>746</v>
      </c>
      <c r="C253" s="32" t="s">
        <v>482</v>
      </c>
      <c r="D253" s="33">
        <v>1</v>
      </c>
      <c r="E253" s="33">
        <v>3</v>
      </c>
      <c r="F253" s="34">
        <v>1</v>
      </c>
      <c r="G253" s="35" t="s">
        <v>747</v>
      </c>
      <c r="H253" s="36" t="s">
        <v>748</v>
      </c>
      <c r="I253" s="88">
        <v>0</v>
      </c>
      <c r="J253" s="88" t="s">
        <v>485</v>
      </c>
      <c r="K253" s="38">
        <v>1050</v>
      </c>
      <c r="L253" s="38">
        <v>790</v>
      </c>
      <c r="M253" s="39">
        <f>SUMIFS([1]!Tabla6[SALIDA],[1]!Tabla6[CODIGO],Tabla29[[#This Row],[CODIGO]])</f>
        <v>0</v>
      </c>
      <c r="N253" s="39">
        <f>SUMIFS([1]!Tabla6[ENTRADA],[1]!Tabla6[CODIGO],Tabla29[[#This Row],[CODIGO]])</f>
        <v>0</v>
      </c>
      <c r="O253" s="40">
        <f>Tabla29[[#This Row],[DISP]]-Tabla29[[#This Row],[SALIDA]]+Tabla29[[#This Row],[ENTRADA]]</f>
        <v>0</v>
      </c>
      <c r="P253" s="29">
        <f>IFERROR(VLOOKUP(Tabla29[[#This Row],[CODIGO]],[1]!Tabla6[[CODIGO]:[PRECIO VENTA]],9,0),0)</f>
        <v>0</v>
      </c>
      <c r="Q253" s="29">
        <f>IFERROR(Tabla29[[#This Row],[PRECIO DETAL USD]]*0.8,0)</f>
        <v>840</v>
      </c>
      <c r="R253" s="30">
        <f>IFERROR([1]!Tabla2[[#This Row],[STOCK]]*[1]!Tabla2[[#This Row],[COSTO]],0)</f>
        <v>0</v>
      </c>
    </row>
    <row r="254" spans="1:18" ht="15" customHeight="1" x14ac:dyDescent="0.4">
      <c r="A254" s="41">
        <v>26</v>
      </c>
      <c r="B254" s="32"/>
      <c r="C254" s="21"/>
      <c r="D254" s="22"/>
      <c r="E254" s="22"/>
      <c r="F254" s="22"/>
      <c r="G254" s="23" t="s">
        <v>749</v>
      </c>
      <c r="H254" s="24"/>
      <c r="I254" s="22"/>
      <c r="J254" s="25"/>
      <c r="K254" s="26" t="s">
        <v>20</v>
      </c>
      <c r="L254" s="22"/>
      <c r="M254" s="22"/>
      <c r="N254" s="22"/>
      <c r="O254" s="27" t="s">
        <v>21</v>
      </c>
      <c r="P254" s="28">
        <f>IFERROR(VLOOKUP(Tabla29[[#This Row],[CODIGO]],[1]!Tabla6[[CODIGO]:[PRECIO VENTA]],9,0),0)</f>
        <v>0</v>
      </c>
      <c r="Q254" s="29">
        <f>IFERROR(Tabla29[[#This Row],[PRECIO DETAL USD]]*0.8,0)</f>
        <v>0</v>
      </c>
      <c r="R254" s="30">
        <f>IFERROR([1]!Tabla2[[#This Row],[STOCK]]*[1]!Tabla2[[#This Row],[COSTO]],0)</f>
        <v>0</v>
      </c>
    </row>
    <row r="255" spans="1:18" ht="15" customHeight="1" x14ac:dyDescent="0.35">
      <c r="A255" s="42" t="s">
        <v>750</v>
      </c>
      <c r="B255" s="32" t="s">
        <v>746</v>
      </c>
      <c r="C255" s="32" t="s">
        <v>482</v>
      </c>
      <c r="D255" s="33">
        <v>14</v>
      </c>
      <c r="E255" s="33">
        <v>3</v>
      </c>
      <c r="F255" s="34">
        <v>1</v>
      </c>
      <c r="G255" s="59" t="s">
        <v>751</v>
      </c>
      <c r="H255" s="60" t="s">
        <v>752</v>
      </c>
      <c r="I255" s="43">
        <v>60</v>
      </c>
      <c r="J255" s="88" t="s">
        <v>485</v>
      </c>
      <c r="K255" s="38">
        <v>23.93</v>
      </c>
      <c r="L255" s="44"/>
      <c r="M255" s="39">
        <f>SUMIFS([1]!Tabla6[SALIDA],[1]!Tabla6[CODIGO],Tabla29[[#This Row],[CODIGO]])</f>
        <v>5</v>
      </c>
      <c r="N255" s="39">
        <f>SUMIFS([1]!Tabla6[ENTRADA],[1]!Tabla6[CODIGO],Tabla29[[#This Row],[CODIGO]])</f>
        <v>0</v>
      </c>
      <c r="O255" s="40">
        <f>Tabla29[[#This Row],[DISP]]-Tabla29[[#This Row],[SALIDA]]+Tabla29[[#This Row],[ENTRADA]]</f>
        <v>55</v>
      </c>
      <c r="P255" s="29">
        <f>IFERROR(VLOOKUP(Tabla29[[#This Row],[CODIGO]],[1]!Tabla6[[CODIGO]:[PRECIO VENTA]],9,0),0)</f>
        <v>0</v>
      </c>
      <c r="Q255" s="29">
        <f>IFERROR(Tabla29[[#This Row],[PRECIO DETAL USD]]*0.8,0)</f>
        <v>19.144000000000002</v>
      </c>
      <c r="R255" s="30">
        <f>IFERROR([1]!Tabla2[[#This Row],[STOCK]]*[1]!Tabla2[[#This Row],[COSTO]],0)</f>
        <v>51.6</v>
      </c>
    </row>
    <row r="256" spans="1:18" ht="15" customHeight="1" x14ac:dyDescent="0.35">
      <c r="A256" s="42" t="s">
        <v>753</v>
      </c>
      <c r="B256" s="32" t="s">
        <v>746</v>
      </c>
      <c r="C256" s="32" t="s">
        <v>482</v>
      </c>
      <c r="D256" s="33">
        <v>14</v>
      </c>
      <c r="E256" s="33">
        <v>3</v>
      </c>
      <c r="F256" s="34">
        <v>2</v>
      </c>
      <c r="G256" s="59" t="s">
        <v>754</v>
      </c>
      <c r="H256" s="60" t="s">
        <v>755</v>
      </c>
      <c r="I256" s="43">
        <v>8</v>
      </c>
      <c r="J256" s="88" t="s">
        <v>485</v>
      </c>
      <c r="K256" s="38">
        <v>27.56</v>
      </c>
      <c r="L256" s="38">
        <v>20.14</v>
      </c>
      <c r="M256" s="39">
        <f>SUMIFS([1]!Tabla6[SALIDA],[1]!Tabla6[CODIGO],Tabla29[[#This Row],[CODIGO]])</f>
        <v>0</v>
      </c>
      <c r="N256" s="39">
        <f>SUMIFS([1]!Tabla6[ENTRADA],[1]!Tabla6[CODIGO],Tabla29[[#This Row],[CODIGO]])</f>
        <v>0</v>
      </c>
      <c r="O256" s="40">
        <f>Tabla29[[#This Row],[DISP]]-Tabla29[[#This Row],[SALIDA]]+Tabla29[[#This Row],[ENTRADA]]</f>
        <v>8</v>
      </c>
      <c r="P256" s="29">
        <f>IFERROR(VLOOKUP(Tabla29[[#This Row],[CODIGO]],[1]!Tabla6[[CODIGO]:[PRECIO VENTA]],9,0),0)</f>
        <v>0</v>
      </c>
      <c r="Q256" s="29">
        <f>IFERROR(Tabla29[[#This Row],[PRECIO DETAL USD]]*0.8,0)</f>
        <v>22.048000000000002</v>
      </c>
      <c r="R256" s="30">
        <f>IFERROR([1]!Tabla2[[#This Row],[STOCK]]*[1]!Tabla2[[#This Row],[COSTO]],0)</f>
        <v>2373.6</v>
      </c>
    </row>
    <row r="257" spans="1:18" ht="15" hidden="1" customHeight="1" x14ac:dyDescent="0.35">
      <c r="A257" s="42" t="s">
        <v>756</v>
      </c>
      <c r="B257" s="32" t="s">
        <v>746</v>
      </c>
      <c r="C257" s="32" t="s">
        <v>482</v>
      </c>
      <c r="D257" s="33">
        <v>14</v>
      </c>
      <c r="E257" s="33">
        <v>3</v>
      </c>
      <c r="F257" s="34">
        <v>3</v>
      </c>
      <c r="G257" s="35" t="s">
        <v>757</v>
      </c>
      <c r="H257" s="36" t="s">
        <v>758</v>
      </c>
      <c r="I257" s="43">
        <v>4</v>
      </c>
      <c r="J257" s="88" t="s">
        <v>485</v>
      </c>
      <c r="K257" s="38">
        <v>13</v>
      </c>
      <c r="L257" s="44"/>
      <c r="M257" s="39">
        <f>SUMIFS([1]!Tabla6[SALIDA],[1]!Tabla6[CODIGO],Tabla29[[#This Row],[CODIGO]])</f>
        <v>4</v>
      </c>
      <c r="N257" s="39">
        <f>SUMIFS([1]!Tabla6[ENTRADA],[1]!Tabla6[CODIGO],Tabla29[[#This Row],[CODIGO]])</f>
        <v>0</v>
      </c>
      <c r="O257" s="40">
        <f>Tabla29[[#This Row],[DISP]]-Tabla29[[#This Row],[SALIDA]]+Tabla29[[#This Row],[ENTRADA]]</f>
        <v>0</v>
      </c>
      <c r="P257" s="29">
        <f>IFERROR(VLOOKUP(Tabla29[[#This Row],[CODIGO]],[1]!Tabla6[[CODIGO]:[PRECIO VENTA]],9,0),0)</f>
        <v>0</v>
      </c>
      <c r="Q257" s="29">
        <f>IFERROR(Tabla29[[#This Row],[PRECIO DETAL USD]]*0.8,0)</f>
        <v>10.4</v>
      </c>
      <c r="R257" s="30">
        <f>IFERROR([1]!Tabla2[[#This Row],[STOCK]]*[1]!Tabla2[[#This Row],[COSTO]],0)</f>
        <v>0</v>
      </c>
    </row>
    <row r="258" spans="1:18" ht="15" customHeight="1" x14ac:dyDescent="0.35">
      <c r="A258" s="42" t="s">
        <v>759</v>
      </c>
      <c r="B258" s="48"/>
      <c r="C258" s="48"/>
      <c r="D258" s="49"/>
      <c r="E258" s="49"/>
      <c r="F258" s="50"/>
      <c r="G258" s="59" t="s">
        <v>760</v>
      </c>
      <c r="H258" s="60" t="s">
        <v>761</v>
      </c>
      <c r="I258" s="51"/>
      <c r="J258" s="52" t="s">
        <v>485</v>
      </c>
      <c r="K258" s="53">
        <v>14.46</v>
      </c>
      <c r="L258" s="65"/>
      <c r="M258" s="45">
        <f>SUMIFS([1]!Tabla6[SALIDA],[1]!Tabla6[CODIGO],Tabla29[[#This Row],[CODIGO]])</f>
        <v>7</v>
      </c>
      <c r="N258" s="45">
        <f>SUMIFS([1]!Tabla6[ENTRADA],[1]!Tabla6[CODIGO],Tabla29[[#This Row],[CODIGO]])</f>
        <v>61</v>
      </c>
      <c r="O258" s="40">
        <f>Tabla29[[#This Row],[DISP]]-Tabla29[[#This Row],[SALIDA]]+Tabla29[[#This Row],[ENTRADA]]</f>
        <v>54</v>
      </c>
      <c r="P258" s="66">
        <f>IFERROR(VLOOKUP(Tabla29[[#This Row],[CODIGO]],[1]!Tabla6[[CODIGO]:[PRECIO VENTA]],9,0),0)</f>
        <v>0</v>
      </c>
      <c r="Q258" s="67">
        <f>IFERROR(Tabla29[[#This Row],[PRECIO DETAL USD]]*0.8,0)</f>
        <v>11.568000000000001</v>
      </c>
      <c r="R258" s="68">
        <f>IFERROR([1]!Tabla2[[#This Row],[STOCK]]*[1]!Tabla2[[#This Row],[COSTO]],0)</f>
        <v>0</v>
      </c>
    </row>
    <row r="259" spans="1:18" ht="15" customHeight="1" x14ac:dyDescent="0.35">
      <c r="A259" s="42" t="s">
        <v>759</v>
      </c>
      <c r="B259" s="32" t="s">
        <v>746</v>
      </c>
      <c r="C259" s="32" t="s">
        <v>482</v>
      </c>
      <c r="D259" s="33">
        <v>14</v>
      </c>
      <c r="E259" s="33">
        <v>3</v>
      </c>
      <c r="F259" s="34">
        <v>4</v>
      </c>
      <c r="G259" s="59" t="s">
        <v>762</v>
      </c>
      <c r="H259" s="60" t="s">
        <v>763</v>
      </c>
      <c r="I259" s="43">
        <v>37</v>
      </c>
      <c r="J259" s="88" t="s">
        <v>485</v>
      </c>
      <c r="K259" s="38">
        <v>40.06</v>
      </c>
      <c r="L259" s="44"/>
      <c r="M259" s="39">
        <f>SUMIFS([1]!Tabla6[SALIDA],[1]!Tabla6[CODIGO],Tabla29[[#This Row],[CODIGO]])</f>
        <v>2</v>
      </c>
      <c r="N259" s="39">
        <f>SUMIFS([1]!Tabla6[ENTRADA],[1]!Tabla6[CODIGO],Tabla29[[#This Row],[CODIGO]])</f>
        <v>0</v>
      </c>
      <c r="O259" s="40">
        <f>Tabla29[[#This Row],[DISP]]-Tabla29[[#This Row],[SALIDA]]+Tabla29[[#This Row],[ENTRADA]]</f>
        <v>35</v>
      </c>
      <c r="P259" s="29">
        <f>IFERROR(VLOOKUP(Tabla29[[#This Row],[CODIGO]],[1]!Tabla6[[CODIGO]:[PRECIO VENTA]],9,0),0)</f>
        <v>0</v>
      </c>
      <c r="Q259" s="29">
        <f>IFERROR(Tabla29[[#This Row],[PRECIO DETAL USD]]*0.8,0)</f>
        <v>32.048000000000002</v>
      </c>
      <c r="R259" s="30">
        <f>IFERROR([1]!Tabla2[[#This Row],[STOCK]]*[1]!Tabla2[[#This Row],[COSTO]],0)</f>
        <v>0</v>
      </c>
    </row>
    <row r="260" spans="1:18" ht="15" hidden="1" customHeight="1" x14ac:dyDescent="0.35">
      <c r="A260" s="42" t="s">
        <v>764</v>
      </c>
      <c r="B260" s="32" t="s">
        <v>746</v>
      </c>
      <c r="C260" s="32" t="s">
        <v>482</v>
      </c>
      <c r="D260" s="33">
        <v>14</v>
      </c>
      <c r="E260" s="33">
        <v>39</v>
      </c>
      <c r="F260" s="34">
        <v>7</v>
      </c>
      <c r="G260" s="35" t="s">
        <v>765</v>
      </c>
      <c r="H260" s="36" t="s">
        <v>766</v>
      </c>
      <c r="I260" s="43">
        <v>0</v>
      </c>
      <c r="J260" s="88" t="s">
        <v>485</v>
      </c>
      <c r="K260" s="38">
        <v>23</v>
      </c>
      <c r="L260" s="44"/>
      <c r="M260" s="39">
        <f>SUMIFS([1]!Tabla6[SALIDA],[1]!Tabla6[CODIGO],Tabla29[[#This Row],[CODIGO]])</f>
        <v>1</v>
      </c>
      <c r="N260" s="39">
        <f>SUMIFS([1]!Tabla6[ENTRADA],[1]!Tabla6[CODIGO],Tabla29[[#This Row],[CODIGO]])</f>
        <v>1</v>
      </c>
      <c r="O260" s="40">
        <f>Tabla29[[#This Row],[DISP]]-Tabla29[[#This Row],[SALIDA]]+Tabla29[[#This Row],[ENTRADA]]</f>
        <v>0</v>
      </c>
      <c r="P260" s="29">
        <f>IFERROR(VLOOKUP(Tabla29[[#This Row],[CODIGO]],[1]!Tabla6[[CODIGO]:[PRECIO VENTA]],9,0),0)</f>
        <v>0</v>
      </c>
      <c r="Q260" s="29">
        <f>IFERROR(Tabla29[[#This Row],[PRECIO DETAL USD]]*0.8,0)</f>
        <v>18.400000000000002</v>
      </c>
      <c r="R260" s="30">
        <f>IFERROR([1]!Tabla2[[#This Row],[STOCK]]*[1]!Tabla2[[#This Row],[COSTO]],0)</f>
        <v>852.41600000000005</v>
      </c>
    </row>
    <row r="261" spans="1:18" ht="15" hidden="1" customHeight="1" x14ac:dyDescent="0.35">
      <c r="A261" s="42" t="s">
        <v>767</v>
      </c>
      <c r="B261" s="32" t="s">
        <v>768</v>
      </c>
      <c r="C261" s="32" t="s">
        <v>482</v>
      </c>
      <c r="D261" s="33">
        <v>14</v>
      </c>
      <c r="E261" s="33">
        <v>3</v>
      </c>
      <c r="F261" s="34">
        <v>5</v>
      </c>
      <c r="G261" s="35" t="s">
        <v>769</v>
      </c>
      <c r="H261" s="36" t="s">
        <v>770</v>
      </c>
      <c r="I261" s="43">
        <v>0</v>
      </c>
      <c r="J261" s="88" t="s">
        <v>485</v>
      </c>
      <c r="K261" s="38"/>
      <c r="L261" s="44"/>
      <c r="M261" s="39">
        <f>SUMIFS([1]!Tabla6[SALIDA],[1]!Tabla6[CODIGO],Tabla29[[#This Row],[CODIGO]])</f>
        <v>0</v>
      </c>
      <c r="N261" s="39">
        <f>SUMIFS([1]!Tabla6[ENTRADA],[1]!Tabla6[CODIGO],Tabla29[[#This Row],[CODIGO]])</f>
        <v>0</v>
      </c>
      <c r="O261" s="40">
        <f>Tabla29[[#This Row],[DISP]]-Tabla29[[#This Row],[SALIDA]]+Tabla29[[#This Row],[ENTRADA]]</f>
        <v>0</v>
      </c>
      <c r="P261" s="29">
        <f>IFERROR(VLOOKUP(Tabla29[[#This Row],[CODIGO]],[1]!Tabla6[[CODIGO]:[PRECIO VENTA]],9,0),0)</f>
        <v>0</v>
      </c>
      <c r="Q261" s="29">
        <f>IFERROR(Tabla29[[#This Row],[PRECIO DETAL USD]]*0.8,0)</f>
        <v>0</v>
      </c>
      <c r="R261" s="30">
        <f>IFERROR([1]!Tabla2[[#This Row],[STOCK]]*[1]!Tabla2[[#This Row],[COSTO]],0)</f>
        <v>0</v>
      </c>
    </row>
    <row r="262" spans="1:18" ht="15" customHeight="1" x14ac:dyDescent="0.35">
      <c r="A262" s="42" t="s">
        <v>771</v>
      </c>
      <c r="B262" s="32" t="s">
        <v>768</v>
      </c>
      <c r="C262" s="32" t="s">
        <v>482</v>
      </c>
      <c r="D262" s="33">
        <v>14</v>
      </c>
      <c r="E262" s="33">
        <v>3</v>
      </c>
      <c r="F262" s="34">
        <v>6</v>
      </c>
      <c r="G262" s="59" t="s">
        <v>772</v>
      </c>
      <c r="H262" s="60" t="s">
        <v>773</v>
      </c>
      <c r="I262" s="43">
        <v>4</v>
      </c>
      <c r="J262" s="88" t="s">
        <v>485</v>
      </c>
      <c r="K262" s="38">
        <v>63.6</v>
      </c>
      <c r="L262" s="44"/>
      <c r="M262" s="39">
        <f>SUMIFS([1]!Tabla6[SALIDA],[1]!Tabla6[CODIGO],Tabla29[[#This Row],[CODIGO]])</f>
        <v>1</v>
      </c>
      <c r="N262" s="39">
        <f>SUMIFS([1]!Tabla6[ENTRADA],[1]!Tabla6[CODIGO],Tabla29[[#This Row],[CODIGO]])</f>
        <v>0</v>
      </c>
      <c r="O262" s="40">
        <f>Tabla29[[#This Row],[DISP]]-Tabla29[[#This Row],[SALIDA]]+Tabla29[[#This Row],[ENTRADA]]</f>
        <v>3</v>
      </c>
      <c r="P262" s="29">
        <f>IFERROR(VLOOKUP(Tabla29[[#This Row],[CODIGO]],[1]!Tabla6[[CODIGO]:[PRECIO VENTA]],9,0),0)</f>
        <v>0</v>
      </c>
      <c r="Q262" s="29">
        <f>IFERROR(Tabla29[[#This Row],[PRECIO DETAL USD]]*0.8,0)</f>
        <v>50.88</v>
      </c>
      <c r="R262" s="30">
        <f>IFERROR([1]!Tabla2[[#This Row],[STOCK]]*[1]!Tabla2[[#This Row],[COSTO]],0)</f>
        <v>-33.536000000000001</v>
      </c>
    </row>
    <row r="263" spans="1:18" ht="15" customHeight="1" x14ac:dyDescent="0.4">
      <c r="A263" s="41">
        <v>27</v>
      </c>
      <c r="B263" s="32"/>
      <c r="C263" s="21"/>
      <c r="D263" s="22"/>
      <c r="E263" s="22"/>
      <c r="F263" s="22"/>
      <c r="G263" s="23" t="s">
        <v>774</v>
      </c>
      <c r="H263" s="24"/>
      <c r="I263" s="22"/>
      <c r="J263" s="25"/>
      <c r="K263" s="26" t="s">
        <v>20</v>
      </c>
      <c r="L263" s="22"/>
      <c r="M263" s="22"/>
      <c r="N263" s="22"/>
      <c r="O263" s="27" t="s">
        <v>21</v>
      </c>
      <c r="P263" s="28">
        <f>IFERROR(VLOOKUP(Tabla29[[#This Row],[CODIGO]],[1]!Tabla6[[CODIGO]:[PRECIO VENTA]],9,0),0)</f>
        <v>0</v>
      </c>
      <c r="Q263" s="29">
        <f>IFERROR(Tabla29[[#This Row],[PRECIO DETAL USD]]*0.8,0)</f>
        <v>0</v>
      </c>
      <c r="R263" s="30">
        <f>IFERROR([1]!Tabla2[[#This Row],[STOCK]]*[1]!Tabla2[[#This Row],[COSTO]],0)</f>
        <v>147.57599999999999</v>
      </c>
    </row>
    <row r="264" spans="1:18" ht="15" customHeight="1" x14ac:dyDescent="0.35">
      <c r="A264" s="42" t="s">
        <v>775</v>
      </c>
      <c r="B264" s="32" t="s">
        <v>776</v>
      </c>
      <c r="C264" s="32" t="s">
        <v>482</v>
      </c>
      <c r="D264" s="33">
        <v>9</v>
      </c>
      <c r="E264" s="33">
        <v>3</v>
      </c>
      <c r="F264" s="34">
        <v>2</v>
      </c>
      <c r="G264" s="35" t="s">
        <v>777</v>
      </c>
      <c r="H264" s="36" t="s">
        <v>778</v>
      </c>
      <c r="I264" s="43">
        <v>4002</v>
      </c>
      <c r="J264" s="88" t="s">
        <v>485</v>
      </c>
      <c r="K264" s="38">
        <v>2.9</v>
      </c>
      <c r="L264" s="38">
        <v>2.5</v>
      </c>
      <c r="M264" s="39">
        <f>SUMIFS([1]!Tabla6[SALIDA],[1]!Tabla6[CODIGO],Tabla29[[#This Row],[CODIGO]])</f>
        <v>129</v>
      </c>
      <c r="N264" s="39">
        <f>SUMIFS([1]!Tabla6[ENTRADA],[1]!Tabla6[CODIGO],Tabla29[[#This Row],[CODIGO]])</f>
        <v>0</v>
      </c>
      <c r="O264" s="40">
        <f>Tabla29[[#This Row],[DISP]]-Tabla29[[#This Row],[SALIDA]]+Tabla29[[#This Row],[ENTRADA]]</f>
        <v>3873</v>
      </c>
      <c r="P264" s="29">
        <f>IFERROR(VLOOKUP(Tabla29[[#This Row],[CODIGO]],[1]!Tabla6[[CODIGO]:[PRECIO VENTA]],9,0),0)</f>
        <v>0</v>
      </c>
      <c r="Q264" s="29">
        <f>IFERROR(Tabla29[[#This Row],[PRECIO DETAL USD]]*0.8,0)</f>
        <v>2.3199999999999998</v>
      </c>
      <c r="R264" s="30">
        <f>IFERROR([1]!Tabla2[[#This Row],[STOCK]]*[1]!Tabla2[[#This Row],[COSTO]],0)</f>
        <v>1098.384</v>
      </c>
    </row>
    <row r="265" spans="1:18" ht="15" customHeight="1" x14ac:dyDescent="0.35">
      <c r="A265" s="42" t="s">
        <v>779</v>
      </c>
      <c r="B265" s="32" t="s">
        <v>481</v>
      </c>
      <c r="C265" s="32" t="s">
        <v>482</v>
      </c>
      <c r="D265" s="33">
        <v>9</v>
      </c>
      <c r="E265" s="33">
        <v>3</v>
      </c>
      <c r="F265" s="34">
        <v>3</v>
      </c>
      <c r="G265" s="35" t="s">
        <v>780</v>
      </c>
      <c r="H265" s="36" t="s">
        <v>781</v>
      </c>
      <c r="I265" s="43">
        <v>1567</v>
      </c>
      <c r="J265" s="88" t="s">
        <v>485</v>
      </c>
      <c r="K265" s="38">
        <v>3.5</v>
      </c>
      <c r="L265" s="38">
        <v>2.9</v>
      </c>
      <c r="M265" s="39">
        <f>SUMIFS([1]!Tabla6[SALIDA],[1]!Tabla6[CODIGO],Tabla29[[#This Row],[CODIGO]])</f>
        <v>324</v>
      </c>
      <c r="N265" s="39">
        <f>SUMIFS([1]!Tabla6[ENTRADA],[1]!Tabla6[CODIGO],Tabla29[[#This Row],[CODIGO]])</f>
        <v>0</v>
      </c>
      <c r="O265" s="40">
        <f>Tabla29[[#This Row],[DISP]]-Tabla29[[#This Row],[SALIDA]]+Tabla29[[#This Row],[ENTRADA]]</f>
        <v>1243</v>
      </c>
      <c r="P265" s="29">
        <f>IFERROR(VLOOKUP(Tabla29[[#This Row],[CODIGO]],[1]!Tabla6[[CODIGO]:[PRECIO VENTA]],9,0),0)</f>
        <v>0</v>
      </c>
      <c r="Q265" s="29">
        <f>IFERROR(Tabla29[[#This Row],[PRECIO DETAL USD]]*0.8,0)</f>
        <v>2.8000000000000003</v>
      </c>
      <c r="R265" s="30">
        <f>IFERROR([1]!Tabla2[[#This Row],[STOCK]]*[1]!Tabla2[[#This Row],[COSTO]],0)</f>
        <v>0</v>
      </c>
    </row>
    <row r="266" spans="1:18" ht="15" customHeight="1" x14ac:dyDescent="0.35">
      <c r="A266" s="42" t="s">
        <v>782</v>
      </c>
      <c r="B266" s="32" t="s">
        <v>481</v>
      </c>
      <c r="C266" s="32" t="s">
        <v>482</v>
      </c>
      <c r="D266" s="33">
        <v>9</v>
      </c>
      <c r="E266" s="33">
        <v>3</v>
      </c>
      <c r="F266" s="34">
        <v>6</v>
      </c>
      <c r="G266" s="35" t="s">
        <v>783</v>
      </c>
      <c r="H266" s="36" t="s">
        <v>784</v>
      </c>
      <c r="I266" s="43">
        <v>200</v>
      </c>
      <c r="J266" s="88" t="s">
        <v>485</v>
      </c>
      <c r="K266" s="38">
        <v>6.5</v>
      </c>
      <c r="L266" s="38">
        <v>5.2</v>
      </c>
      <c r="M266" s="39">
        <f>SUMIFS([1]!Tabla6[SALIDA],[1]!Tabla6[CODIGO],Tabla29[[#This Row],[CODIGO]])</f>
        <v>5</v>
      </c>
      <c r="N266" s="39">
        <f>SUMIFS([1]!Tabla6[ENTRADA],[1]!Tabla6[CODIGO],Tabla29[[#This Row],[CODIGO]])</f>
        <v>0</v>
      </c>
      <c r="O266" s="40">
        <f>Tabla29[[#This Row],[DISP]]-Tabla29[[#This Row],[SALIDA]]+Tabla29[[#This Row],[ENTRADA]]</f>
        <v>195</v>
      </c>
      <c r="P266" s="29">
        <f>IFERROR(VLOOKUP(Tabla29[[#This Row],[CODIGO]],[1]!Tabla6[[CODIGO]:[PRECIO VENTA]],9,0),0)</f>
        <v>0</v>
      </c>
      <c r="Q266" s="29">
        <f>IFERROR(Tabla29[[#This Row],[PRECIO DETAL USD]]*0.8,0)</f>
        <v>5.2</v>
      </c>
      <c r="R266" s="30">
        <f>IFERROR([1]!Tabla2[[#This Row],[STOCK]]*[1]!Tabla2[[#This Row],[COSTO]],0)</f>
        <v>4620</v>
      </c>
    </row>
    <row r="267" spans="1:18" ht="15" hidden="1" customHeight="1" x14ac:dyDescent="0.35">
      <c r="A267" s="42" t="s">
        <v>785</v>
      </c>
      <c r="B267" s="32" t="s">
        <v>481</v>
      </c>
      <c r="C267" s="32" t="s">
        <v>482</v>
      </c>
      <c r="D267" s="33">
        <v>9</v>
      </c>
      <c r="E267" s="33">
        <v>3</v>
      </c>
      <c r="F267" s="34">
        <v>4</v>
      </c>
      <c r="G267" s="35" t="s">
        <v>786</v>
      </c>
      <c r="H267" s="36" t="s">
        <v>787</v>
      </c>
      <c r="I267" s="43">
        <v>0</v>
      </c>
      <c r="J267" s="88" t="s">
        <v>485</v>
      </c>
      <c r="K267" s="38">
        <v>3.2</v>
      </c>
      <c r="L267" s="44"/>
      <c r="M267" s="39">
        <f>SUMIFS([1]!Tabla6[SALIDA],[1]!Tabla6[CODIGO],Tabla29[[#This Row],[CODIGO]])</f>
        <v>0</v>
      </c>
      <c r="N267" s="39">
        <f>SUMIFS([1]!Tabla6[ENTRADA],[1]!Tabla6[CODIGO],Tabla29[[#This Row],[CODIGO]])</f>
        <v>0</v>
      </c>
      <c r="O267" s="40">
        <f>Tabla29[[#This Row],[DISP]]-Tabla29[[#This Row],[SALIDA]]+Tabla29[[#This Row],[ENTRADA]]</f>
        <v>0</v>
      </c>
      <c r="P267" s="29">
        <f>IFERROR(VLOOKUP(Tabla29[[#This Row],[CODIGO]],[1]!Tabla6[[CODIGO]:[PRECIO VENTA]],9,0),0)</f>
        <v>0</v>
      </c>
      <c r="Q267" s="29">
        <f>IFERROR(Tabla29[[#This Row],[PRECIO DETAL USD]]*0.8,0)</f>
        <v>2.5600000000000005</v>
      </c>
      <c r="R267" s="30">
        <f>IFERROR([1]!Tabla2[[#This Row],[STOCK]]*[1]!Tabla2[[#This Row],[COSTO]],0)</f>
        <v>5817.6000000000013</v>
      </c>
    </row>
    <row r="268" spans="1:18" ht="15" hidden="1" customHeight="1" x14ac:dyDescent="0.35">
      <c r="A268" s="42" t="s">
        <v>788</v>
      </c>
      <c r="B268" s="32" t="s">
        <v>481</v>
      </c>
      <c r="C268" s="32" t="s">
        <v>482</v>
      </c>
      <c r="D268" s="33">
        <v>9</v>
      </c>
      <c r="E268" s="33">
        <v>3</v>
      </c>
      <c r="F268" s="34">
        <v>1</v>
      </c>
      <c r="G268" s="35" t="s">
        <v>789</v>
      </c>
      <c r="H268" s="36" t="s">
        <v>790</v>
      </c>
      <c r="I268" s="43">
        <v>0</v>
      </c>
      <c r="J268" s="88" t="s">
        <v>485</v>
      </c>
      <c r="K268" s="38">
        <v>3.2</v>
      </c>
      <c r="L268" s="44"/>
      <c r="M268" s="39">
        <f>SUMIFS([1]!Tabla6[SALIDA],[1]!Tabla6[CODIGO],Tabla29[[#This Row],[CODIGO]])</f>
        <v>0</v>
      </c>
      <c r="N268" s="39">
        <f>SUMIFS([1]!Tabla6[ENTRADA],[1]!Tabla6[CODIGO],Tabla29[[#This Row],[CODIGO]])</f>
        <v>0</v>
      </c>
      <c r="O268" s="40">
        <f>Tabla29[[#This Row],[DISP]]-Tabla29[[#This Row],[SALIDA]]+Tabla29[[#This Row],[ENTRADA]]</f>
        <v>0</v>
      </c>
      <c r="P268" s="29">
        <f>IFERROR(VLOOKUP(Tabla29[[#This Row],[CODIGO]],[1]!Tabla6[[CODIGO]:[PRECIO VENTA]],9,0),0)</f>
        <v>0</v>
      </c>
      <c r="Q268" s="29">
        <f>IFERROR(Tabla29[[#This Row],[PRECIO DETAL USD]]*0.8,0)</f>
        <v>2.5600000000000005</v>
      </c>
      <c r="R268" s="30">
        <f>IFERROR([1]!Tabla2[[#This Row],[STOCK]]*[1]!Tabla2[[#This Row],[COSTO]],0)</f>
        <v>0</v>
      </c>
    </row>
    <row r="269" spans="1:18" ht="15" customHeight="1" x14ac:dyDescent="0.35">
      <c r="A269" s="42" t="s">
        <v>791</v>
      </c>
      <c r="B269" s="32" t="s">
        <v>481</v>
      </c>
      <c r="C269" s="32" t="s">
        <v>482</v>
      </c>
      <c r="D269" s="33">
        <v>9</v>
      </c>
      <c r="E269" s="33">
        <v>3</v>
      </c>
      <c r="F269" s="34">
        <v>5</v>
      </c>
      <c r="G269" s="35" t="s">
        <v>792</v>
      </c>
      <c r="H269" s="36" t="s">
        <v>793</v>
      </c>
      <c r="I269" s="43">
        <v>20</v>
      </c>
      <c r="J269" s="88" t="s">
        <v>485</v>
      </c>
      <c r="K269" s="38">
        <v>3.7</v>
      </c>
      <c r="L269" s="38">
        <v>4.5</v>
      </c>
      <c r="M269" s="39">
        <f>SUMIFS([1]!Tabla6[SALIDA],[1]!Tabla6[CODIGO],Tabla29[[#This Row],[CODIGO]])</f>
        <v>0</v>
      </c>
      <c r="N269" s="39">
        <f>SUMIFS([1]!Tabla6[ENTRADA],[1]!Tabla6[CODIGO],Tabla29[[#This Row],[CODIGO]])</f>
        <v>0</v>
      </c>
      <c r="O269" s="40">
        <f>Tabla29[[#This Row],[DISP]]-Tabla29[[#This Row],[SALIDA]]+Tabla29[[#This Row],[ENTRADA]]</f>
        <v>20</v>
      </c>
      <c r="P269" s="29">
        <f>IFERROR(VLOOKUP(Tabla29[[#This Row],[CODIGO]],[1]!Tabla6[[CODIGO]:[PRECIO VENTA]],9,0),0)</f>
        <v>0</v>
      </c>
      <c r="Q269" s="29">
        <f>IFERROR(Tabla29[[#This Row],[PRECIO DETAL USD]]*0.8,0)</f>
        <v>2.9600000000000004</v>
      </c>
      <c r="R269" s="30">
        <f>IFERROR([1]!Tabla2[[#This Row],[STOCK]]*[1]!Tabla2[[#This Row],[COSTO]],0)</f>
        <v>0</v>
      </c>
    </row>
    <row r="270" spans="1:18" ht="15" customHeight="1" x14ac:dyDescent="0.35">
      <c r="A270" s="42" t="s">
        <v>794</v>
      </c>
      <c r="B270" s="32" t="s">
        <v>481</v>
      </c>
      <c r="C270" s="32" t="s">
        <v>482</v>
      </c>
      <c r="D270" s="33">
        <v>9</v>
      </c>
      <c r="E270" s="33">
        <v>3</v>
      </c>
      <c r="F270" s="34">
        <v>7</v>
      </c>
      <c r="G270" s="35" t="s">
        <v>795</v>
      </c>
      <c r="H270" s="36" t="s">
        <v>796</v>
      </c>
      <c r="I270" s="43">
        <v>380</v>
      </c>
      <c r="J270" s="88" t="s">
        <v>485</v>
      </c>
      <c r="K270" s="38">
        <v>8.5</v>
      </c>
      <c r="L270" s="38">
        <v>6.9</v>
      </c>
      <c r="M270" s="39">
        <f>SUMIFS([1]!Tabla6[SALIDA],[1]!Tabla6[CODIGO],Tabla29[[#This Row],[CODIGO]])</f>
        <v>78</v>
      </c>
      <c r="N270" s="39">
        <f>SUMIFS([1]!Tabla6[ENTRADA],[1]!Tabla6[CODIGO],Tabla29[[#This Row],[CODIGO]])</f>
        <v>0</v>
      </c>
      <c r="O270" s="40">
        <f>Tabla29[[#This Row],[DISP]]-Tabla29[[#This Row],[SALIDA]]+Tabla29[[#This Row],[ENTRADA]]</f>
        <v>302</v>
      </c>
      <c r="P270" s="29">
        <f>IFERROR(VLOOKUP(Tabla29[[#This Row],[CODIGO]],[1]!Tabla6[[CODIGO]:[PRECIO VENTA]],9,0),0)</f>
        <v>0</v>
      </c>
      <c r="Q270" s="29">
        <f>IFERROR(Tabla29[[#This Row],[PRECIO DETAL USD]]*0.8,0)</f>
        <v>6.8000000000000007</v>
      </c>
      <c r="R270" s="30">
        <f>IFERROR([1]!Tabla2[[#This Row],[STOCK]]*[1]!Tabla2[[#This Row],[COSTO]],0)</f>
        <v>0</v>
      </c>
    </row>
    <row r="271" spans="1:18" ht="15" hidden="1" customHeight="1" x14ac:dyDescent="0.35">
      <c r="A271" s="42" t="s">
        <v>797</v>
      </c>
      <c r="B271" s="32" t="s">
        <v>481</v>
      </c>
      <c r="C271" s="32" t="s">
        <v>482</v>
      </c>
      <c r="D271" s="33">
        <v>9</v>
      </c>
      <c r="E271" s="33">
        <v>3</v>
      </c>
      <c r="F271" s="34">
        <v>8</v>
      </c>
      <c r="G271" s="35" t="s">
        <v>798</v>
      </c>
      <c r="H271" s="36" t="s">
        <v>799</v>
      </c>
      <c r="I271" s="43">
        <v>20</v>
      </c>
      <c r="J271" s="88" t="s">
        <v>485</v>
      </c>
      <c r="K271" s="38">
        <v>34</v>
      </c>
      <c r="L271" s="44"/>
      <c r="M271" s="39">
        <f>SUMIFS([1]!Tabla6[SALIDA],[1]!Tabla6[CODIGO],Tabla29[[#This Row],[CODIGO]])</f>
        <v>20</v>
      </c>
      <c r="N271" s="39">
        <f>SUMIFS([1]!Tabla6[ENTRADA],[1]!Tabla6[CODIGO],Tabla29[[#This Row],[CODIGO]])</f>
        <v>0</v>
      </c>
      <c r="O271" s="40">
        <f>Tabla29[[#This Row],[DISP]]-Tabla29[[#This Row],[SALIDA]]+Tabla29[[#This Row],[ENTRADA]]</f>
        <v>0</v>
      </c>
      <c r="P271" s="29">
        <f>IFERROR(VLOOKUP(Tabla29[[#This Row],[CODIGO]],[1]!Tabla6[[CODIGO]:[PRECIO VENTA]],9,0),0)</f>
        <v>0</v>
      </c>
      <c r="Q271" s="29">
        <f>IFERROR(Tabla29[[#This Row],[PRECIO DETAL USD]]*0.8,0)</f>
        <v>27.200000000000003</v>
      </c>
      <c r="R271" s="30">
        <f>IFERROR([1]!Tabla2[[#This Row],[STOCK]]*[1]!Tabla2[[#This Row],[COSTO]],0)</f>
        <v>0</v>
      </c>
    </row>
    <row r="272" spans="1:18" ht="15" customHeight="1" x14ac:dyDescent="0.35">
      <c r="A272" s="42" t="s">
        <v>800</v>
      </c>
      <c r="B272" s="32" t="s">
        <v>481</v>
      </c>
      <c r="C272" s="32" t="s">
        <v>482</v>
      </c>
      <c r="D272" s="33">
        <v>9</v>
      </c>
      <c r="E272" s="33">
        <v>3</v>
      </c>
      <c r="F272" s="34">
        <v>9</v>
      </c>
      <c r="G272" s="35" t="s">
        <v>801</v>
      </c>
      <c r="H272" s="36" t="s">
        <v>802</v>
      </c>
      <c r="I272" s="43">
        <v>468</v>
      </c>
      <c r="J272" s="88" t="s">
        <v>485</v>
      </c>
      <c r="K272" s="38">
        <v>37</v>
      </c>
      <c r="L272" s="44"/>
      <c r="M272" s="39">
        <f>SUMIFS([1]!Tabla6[SALIDA],[1]!Tabla6[CODIGO],Tabla29[[#This Row],[CODIGO]])</f>
        <v>150</v>
      </c>
      <c r="N272" s="39">
        <f>SUMIFS([1]!Tabla6[ENTRADA],[1]!Tabla6[CODIGO],Tabla29[[#This Row],[CODIGO]])</f>
        <v>0</v>
      </c>
      <c r="O272" s="40">
        <f>Tabla29[[#This Row],[DISP]]-Tabla29[[#This Row],[SALIDA]]+Tabla29[[#This Row],[ENTRADA]]</f>
        <v>318</v>
      </c>
      <c r="P272" s="29">
        <f>IFERROR(VLOOKUP(Tabla29[[#This Row],[CODIGO]],[1]!Tabla6[[CODIGO]:[PRECIO VENTA]],9,0),0)</f>
        <v>0</v>
      </c>
      <c r="Q272" s="29">
        <f>IFERROR(Tabla29[[#This Row],[PRECIO DETAL USD]]*0.8,0)</f>
        <v>29.6</v>
      </c>
      <c r="R272" s="30">
        <f>IFERROR([1]!Tabla2[[#This Row],[STOCK]]*[1]!Tabla2[[#This Row],[COSTO]],0)</f>
        <v>1906.1280000000002</v>
      </c>
    </row>
    <row r="273" spans="1:18" ht="15" customHeight="1" x14ac:dyDescent="0.4">
      <c r="A273" s="41">
        <v>28</v>
      </c>
      <c r="B273" s="32"/>
      <c r="C273" s="21"/>
      <c r="D273" s="22"/>
      <c r="E273" s="22"/>
      <c r="F273" s="22"/>
      <c r="G273" s="23" t="s">
        <v>803</v>
      </c>
      <c r="H273" s="24"/>
      <c r="I273" s="22"/>
      <c r="J273" s="25"/>
      <c r="K273" s="26" t="s">
        <v>20</v>
      </c>
      <c r="L273" s="22"/>
      <c r="M273" s="22"/>
      <c r="N273" s="22"/>
      <c r="O273" s="27" t="s">
        <v>21</v>
      </c>
      <c r="P273" s="28">
        <f>IFERROR(VLOOKUP(Tabla29[[#This Row],[CODIGO]],[1]!Tabla6[[CODIGO]:[PRECIO VENTA]],9,0),0)</f>
        <v>0</v>
      </c>
      <c r="Q273" s="29">
        <f>IFERROR(Tabla29[[#This Row],[PRECIO DETAL USD]]*0.8,0)</f>
        <v>0</v>
      </c>
      <c r="R273" s="30">
        <f>IFERROR([1]!Tabla2[[#This Row],[STOCK]]*[1]!Tabla2[[#This Row],[COSTO]],0)</f>
        <v>660.19200000000012</v>
      </c>
    </row>
    <row r="274" spans="1:18" ht="15" customHeight="1" x14ac:dyDescent="0.35">
      <c r="A274" s="42" t="s">
        <v>804</v>
      </c>
      <c r="B274" s="32" t="s">
        <v>688</v>
      </c>
      <c r="C274" s="32" t="s">
        <v>482</v>
      </c>
      <c r="D274" s="33">
        <v>6</v>
      </c>
      <c r="E274" s="33">
        <v>3</v>
      </c>
      <c r="F274" s="34">
        <v>2</v>
      </c>
      <c r="G274" s="35" t="s">
        <v>805</v>
      </c>
      <c r="H274" s="36" t="s">
        <v>806</v>
      </c>
      <c r="I274" s="43">
        <v>935</v>
      </c>
      <c r="J274" s="88" t="s">
        <v>485</v>
      </c>
      <c r="K274" s="38">
        <v>3.95</v>
      </c>
      <c r="L274" s="38">
        <v>2.95</v>
      </c>
      <c r="M274" s="39">
        <f>SUMIFS([1]!Tabla6[SALIDA],[1]!Tabla6[CODIGO],Tabla29[[#This Row],[CODIGO]])</f>
        <v>13</v>
      </c>
      <c r="N274" s="39">
        <f>SUMIFS([1]!Tabla6[ENTRADA],[1]!Tabla6[CODIGO],Tabla29[[#This Row],[CODIGO]])</f>
        <v>0</v>
      </c>
      <c r="O274" s="40">
        <f>Tabla29[[#This Row],[DISP]]-Tabla29[[#This Row],[SALIDA]]+Tabla29[[#This Row],[ENTRADA]]</f>
        <v>922</v>
      </c>
      <c r="P274" s="29">
        <f>IFERROR(VLOOKUP(Tabla29[[#This Row],[CODIGO]],[1]!Tabla6[[CODIGO]:[PRECIO VENTA]],9,0),0)</f>
        <v>0</v>
      </c>
      <c r="Q274" s="29">
        <f>IFERROR(Tabla29[[#This Row],[PRECIO DETAL USD]]*0.8,0)</f>
        <v>3.16</v>
      </c>
      <c r="R274" s="30">
        <f>IFERROR([1]!Tabla2[[#This Row],[STOCK]]*[1]!Tabla2[[#This Row],[COSTO]],0)</f>
        <v>591.6</v>
      </c>
    </row>
    <row r="275" spans="1:18" ht="15" customHeight="1" x14ac:dyDescent="0.35">
      <c r="A275" s="42" t="s">
        <v>807</v>
      </c>
      <c r="B275" s="32" t="s">
        <v>688</v>
      </c>
      <c r="C275" s="32" t="s">
        <v>482</v>
      </c>
      <c r="D275" s="33">
        <v>6</v>
      </c>
      <c r="E275" s="33">
        <v>3</v>
      </c>
      <c r="F275" s="34">
        <v>3</v>
      </c>
      <c r="G275" s="35" t="s">
        <v>808</v>
      </c>
      <c r="H275" s="36" t="s">
        <v>809</v>
      </c>
      <c r="I275" s="43">
        <v>800</v>
      </c>
      <c r="J275" s="88" t="s">
        <v>485</v>
      </c>
      <c r="K275" s="38">
        <v>7.9</v>
      </c>
      <c r="L275" s="38">
        <v>6.5</v>
      </c>
      <c r="M275" s="39">
        <f>SUMIFS([1]!Tabla6[SALIDA],[1]!Tabla6[CODIGO],Tabla29[[#This Row],[CODIGO]])</f>
        <v>3</v>
      </c>
      <c r="N275" s="39">
        <f>SUMIFS([1]!Tabla6[ENTRADA],[1]!Tabla6[CODIGO],Tabla29[[#This Row],[CODIGO]])</f>
        <v>0</v>
      </c>
      <c r="O275" s="40">
        <f>Tabla29[[#This Row],[DISP]]-Tabla29[[#This Row],[SALIDA]]+Tabla29[[#This Row],[ENTRADA]]</f>
        <v>797</v>
      </c>
      <c r="P275" s="29">
        <f>IFERROR(VLOOKUP(Tabla29[[#This Row],[CODIGO]],[1]!Tabla6[[CODIGO]:[PRECIO VENTA]],9,0),0)</f>
        <v>0</v>
      </c>
      <c r="Q275" s="29">
        <f>IFERROR(Tabla29[[#This Row],[PRECIO DETAL USD]]*0.8,0)</f>
        <v>6.32</v>
      </c>
      <c r="R275" s="30">
        <f>IFERROR([1]!Tabla2[[#This Row],[STOCK]]*[1]!Tabla2[[#This Row],[COSTO]],0)</f>
        <v>116.59200000000001</v>
      </c>
    </row>
    <row r="276" spans="1:18" ht="15" customHeight="1" x14ac:dyDescent="0.35">
      <c r="A276" s="42" t="s">
        <v>810</v>
      </c>
      <c r="B276" s="32" t="s">
        <v>688</v>
      </c>
      <c r="C276" s="32" t="s">
        <v>482</v>
      </c>
      <c r="D276" s="33">
        <v>6</v>
      </c>
      <c r="E276" s="33">
        <v>3</v>
      </c>
      <c r="F276" s="34">
        <v>9</v>
      </c>
      <c r="G276" s="35" t="s">
        <v>811</v>
      </c>
      <c r="H276" s="36" t="s">
        <v>812</v>
      </c>
      <c r="I276" s="43">
        <v>523</v>
      </c>
      <c r="J276" s="88" t="s">
        <v>485</v>
      </c>
      <c r="K276" s="38">
        <v>8.9</v>
      </c>
      <c r="L276" s="38">
        <v>7.5</v>
      </c>
      <c r="M276" s="39">
        <f>SUMIFS([1]!Tabla6[SALIDA],[1]!Tabla6[CODIGO],Tabla29[[#This Row],[CODIGO]])</f>
        <v>2</v>
      </c>
      <c r="N276" s="39">
        <f>SUMIFS([1]!Tabla6[ENTRADA],[1]!Tabla6[CODIGO],Tabla29[[#This Row],[CODIGO]])</f>
        <v>0</v>
      </c>
      <c r="O276" s="40">
        <f>Tabla29[[#This Row],[DISP]]-Tabla29[[#This Row],[SALIDA]]+Tabla29[[#This Row],[ENTRADA]]</f>
        <v>521</v>
      </c>
      <c r="P276" s="29">
        <f>IFERROR(VLOOKUP(Tabla29[[#This Row],[CODIGO]],[1]!Tabla6[[CODIGO]:[PRECIO VENTA]],9,0),0)</f>
        <v>0</v>
      </c>
      <c r="Q276" s="29">
        <f>IFERROR(Tabla29[[#This Row],[PRECIO DETAL USD]]*0.8,0)</f>
        <v>7.120000000000001</v>
      </c>
      <c r="R276" s="30">
        <f>IFERROR([1]!Tabla2[[#This Row],[STOCK]]*[1]!Tabla2[[#This Row],[COSTO]],0)</f>
        <v>592.80000000000007</v>
      </c>
    </row>
    <row r="277" spans="1:18" ht="15" customHeight="1" x14ac:dyDescent="0.35">
      <c r="A277" s="42" t="s">
        <v>813</v>
      </c>
      <c r="B277" s="32" t="s">
        <v>688</v>
      </c>
      <c r="C277" s="32" t="s">
        <v>482</v>
      </c>
      <c r="D277" s="33">
        <v>6</v>
      </c>
      <c r="E277" s="33">
        <v>3</v>
      </c>
      <c r="F277" s="34">
        <v>7</v>
      </c>
      <c r="G277" s="35" t="s">
        <v>814</v>
      </c>
      <c r="H277" s="36" t="s">
        <v>815</v>
      </c>
      <c r="I277" s="43">
        <v>218</v>
      </c>
      <c r="J277" s="88" t="s">
        <v>485</v>
      </c>
      <c r="K277" s="38">
        <v>9.5</v>
      </c>
      <c r="L277" s="38">
        <v>8.6999999999999993</v>
      </c>
      <c r="M277" s="39">
        <f>SUMIFS([1]!Tabla6[SALIDA],[1]!Tabla6[CODIGO],Tabla29[[#This Row],[CODIGO]])</f>
        <v>34</v>
      </c>
      <c r="N277" s="39">
        <f>SUMIFS([1]!Tabla6[ENTRADA],[1]!Tabla6[CODIGO],Tabla29[[#This Row],[CODIGO]])</f>
        <v>0</v>
      </c>
      <c r="O277" s="40">
        <f>Tabla29[[#This Row],[DISP]]-Tabla29[[#This Row],[SALIDA]]+Tabla29[[#This Row],[ENTRADA]]</f>
        <v>184</v>
      </c>
      <c r="P277" s="29">
        <f>IFERROR(VLOOKUP(Tabla29[[#This Row],[CODIGO]],[1]!Tabla6[[CODIGO]:[PRECIO VENTA]],9,0),0)</f>
        <v>0</v>
      </c>
      <c r="Q277" s="29">
        <f>IFERROR(Tabla29[[#This Row],[PRECIO DETAL USD]]*0.8,0)</f>
        <v>7.6000000000000005</v>
      </c>
      <c r="R277" s="30">
        <f>IFERROR([1]!Tabla2[[#This Row],[STOCK]]*[1]!Tabla2[[#This Row],[COSTO]],0)</f>
        <v>364</v>
      </c>
    </row>
    <row r="278" spans="1:18" ht="15" customHeight="1" x14ac:dyDescent="0.35">
      <c r="A278" s="42" t="s">
        <v>816</v>
      </c>
      <c r="B278" s="32" t="s">
        <v>688</v>
      </c>
      <c r="C278" s="32" t="s">
        <v>482</v>
      </c>
      <c r="D278" s="33">
        <v>6</v>
      </c>
      <c r="E278" s="33">
        <v>3</v>
      </c>
      <c r="F278" s="34">
        <v>8</v>
      </c>
      <c r="G278" s="35" t="s">
        <v>817</v>
      </c>
      <c r="H278" s="36" t="s">
        <v>818</v>
      </c>
      <c r="I278" s="43">
        <v>50</v>
      </c>
      <c r="J278" s="88" t="s">
        <v>485</v>
      </c>
      <c r="K278" s="38">
        <v>7.3</v>
      </c>
      <c r="L278" s="44"/>
      <c r="M278" s="39">
        <f>SUMIFS([1]!Tabla6[SALIDA],[1]!Tabla6[CODIGO],Tabla29[[#This Row],[CODIGO]])</f>
        <v>3</v>
      </c>
      <c r="N278" s="39">
        <f>SUMIFS([1]!Tabla6[ENTRADA],[1]!Tabla6[CODIGO],Tabla29[[#This Row],[CODIGO]])</f>
        <v>0</v>
      </c>
      <c r="O278" s="40">
        <f>Tabla29[[#This Row],[DISP]]-Tabla29[[#This Row],[SALIDA]]+Tabla29[[#This Row],[ENTRADA]]</f>
        <v>47</v>
      </c>
      <c r="P278" s="29">
        <f>IFERROR(VLOOKUP(Tabla29[[#This Row],[CODIGO]],[1]!Tabla6[[CODIGO]:[PRECIO VENTA]],9,0),0)</f>
        <v>0</v>
      </c>
      <c r="Q278" s="29">
        <f>IFERROR(Tabla29[[#This Row],[PRECIO DETAL USD]]*0.8,0)</f>
        <v>5.84</v>
      </c>
      <c r="R278" s="30">
        <f>IFERROR([1]!Tabla2[[#This Row],[STOCK]]*[1]!Tabla2[[#This Row],[COSTO]],0)</f>
        <v>1960.8</v>
      </c>
    </row>
    <row r="279" spans="1:18" ht="15" customHeight="1" x14ac:dyDescent="0.35">
      <c r="A279" s="42" t="s">
        <v>819</v>
      </c>
      <c r="B279" s="32" t="s">
        <v>688</v>
      </c>
      <c r="C279" s="32" t="s">
        <v>482</v>
      </c>
      <c r="D279" s="33">
        <v>6</v>
      </c>
      <c r="E279" s="33">
        <v>3</v>
      </c>
      <c r="F279" s="34">
        <v>1</v>
      </c>
      <c r="G279" s="35" t="s">
        <v>820</v>
      </c>
      <c r="H279" s="36" t="s">
        <v>821</v>
      </c>
      <c r="I279" s="43">
        <v>300</v>
      </c>
      <c r="J279" s="88" t="s">
        <v>485</v>
      </c>
      <c r="K279" s="38">
        <v>17</v>
      </c>
      <c r="L279" s="44"/>
      <c r="M279" s="39">
        <f>SUMIFS([1]!Tabla6[SALIDA],[1]!Tabla6[CODIGO],Tabla29[[#This Row],[CODIGO]])</f>
        <v>4</v>
      </c>
      <c r="N279" s="39">
        <f>SUMIFS([1]!Tabla6[ENTRADA],[1]!Tabla6[CODIGO],Tabla29[[#This Row],[CODIGO]])</f>
        <v>0</v>
      </c>
      <c r="O279" s="40">
        <f>Tabla29[[#This Row],[DISP]]-Tabla29[[#This Row],[SALIDA]]+Tabla29[[#This Row],[ENTRADA]]</f>
        <v>296</v>
      </c>
      <c r="P279" s="29">
        <f>IFERROR(VLOOKUP(Tabla29[[#This Row],[CODIGO]],[1]!Tabla6[[CODIGO]:[PRECIO VENTA]],9,0),0)</f>
        <v>0</v>
      </c>
      <c r="Q279" s="29">
        <f>IFERROR(Tabla29[[#This Row],[PRECIO DETAL USD]]*0.8,0)</f>
        <v>13.600000000000001</v>
      </c>
      <c r="R279" s="30">
        <f>IFERROR([1]!Tabla2[[#This Row],[STOCK]]*[1]!Tabla2[[#This Row],[COSTO]],0)</f>
        <v>0</v>
      </c>
    </row>
    <row r="280" spans="1:18" x14ac:dyDescent="0.35">
      <c r="A280" s="42" t="s">
        <v>822</v>
      </c>
      <c r="B280" s="32" t="s">
        <v>688</v>
      </c>
      <c r="C280" s="32" t="s">
        <v>482</v>
      </c>
      <c r="D280" s="33">
        <v>6</v>
      </c>
      <c r="E280" s="33">
        <v>3</v>
      </c>
      <c r="F280" s="34">
        <v>12</v>
      </c>
      <c r="G280" s="35" t="s">
        <v>823</v>
      </c>
      <c r="H280" s="36" t="s">
        <v>824</v>
      </c>
      <c r="I280" s="43">
        <v>154</v>
      </c>
      <c r="J280" s="88" t="s">
        <v>485</v>
      </c>
      <c r="K280" s="38">
        <v>27</v>
      </c>
      <c r="L280" s="44"/>
      <c r="M280" s="39">
        <f>SUMIFS([1]!Tabla6[SALIDA],[1]!Tabla6[CODIGO],Tabla29[[#This Row],[CODIGO]])</f>
        <v>0</v>
      </c>
      <c r="N280" s="39">
        <f>SUMIFS([1]!Tabla6[ENTRADA],[1]!Tabla6[CODIGO],Tabla29[[#This Row],[CODIGO]])</f>
        <v>0</v>
      </c>
      <c r="O280" s="40">
        <f>Tabla29[[#This Row],[DISP]]-Tabla29[[#This Row],[SALIDA]]+Tabla29[[#This Row],[ENTRADA]]</f>
        <v>154</v>
      </c>
      <c r="P280" s="29">
        <f>IFERROR(VLOOKUP(Tabla29[[#This Row],[CODIGO]],[1]!Tabla6[[CODIGO]:[PRECIO VENTA]],9,0),0)</f>
        <v>0</v>
      </c>
      <c r="Q280" s="29">
        <f>IFERROR(Tabla29[[#This Row],[PRECIO DETAL USD]]*0.8,0)</f>
        <v>21.6</v>
      </c>
      <c r="R280" s="30">
        <f>IFERROR([1]!Tabla2[[#This Row],[STOCK]]*[1]!Tabla2[[#This Row],[COSTO]],0)</f>
        <v>0</v>
      </c>
    </row>
    <row r="281" spans="1:18" ht="15" customHeight="1" x14ac:dyDescent="0.35">
      <c r="A281" s="42" t="s">
        <v>825</v>
      </c>
      <c r="B281" s="32" t="s">
        <v>688</v>
      </c>
      <c r="C281" s="32" t="s">
        <v>482</v>
      </c>
      <c r="D281" s="33">
        <v>6</v>
      </c>
      <c r="E281" s="33">
        <v>3</v>
      </c>
      <c r="F281" s="34">
        <v>13</v>
      </c>
      <c r="G281" s="35" t="s">
        <v>826</v>
      </c>
      <c r="H281" s="36" t="s">
        <v>827</v>
      </c>
      <c r="I281" s="43">
        <v>88</v>
      </c>
      <c r="J281" s="88" t="s">
        <v>485</v>
      </c>
      <c r="K281" s="38">
        <v>23</v>
      </c>
      <c r="L281" s="44"/>
      <c r="M281" s="39">
        <f>SUMIFS([1]!Tabla6[SALIDA],[1]!Tabla6[CODIGO],Tabla29[[#This Row],[CODIGO]])</f>
        <v>15</v>
      </c>
      <c r="N281" s="39">
        <f>SUMIFS([1]!Tabla6[ENTRADA],[1]!Tabla6[CODIGO],Tabla29[[#This Row],[CODIGO]])</f>
        <v>0</v>
      </c>
      <c r="O281" s="40">
        <f>Tabla29[[#This Row],[DISP]]-Tabla29[[#This Row],[SALIDA]]+Tabla29[[#This Row],[ENTRADA]]</f>
        <v>73</v>
      </c>
      <c r="P281" s="29">
        <f>IFERROR(VLOOKUP(Tabla29[[#This Row],[CODIGO]],[1]!Tabla6[[CODIGO]:[PRECIO VENTA]],9,0),0)</f>
        <v>0</v>
      </c>
      <c r="Q281" s="29">
        <f>IFERROR(Tabla29[[#This Row],[PRECIO DETAL USD]]*0.8,0)</f>
        <v>18.400000000000002</v>
      </c>
      <c r="R281" s="30">
        <f>IFERROR([1]!Tabla2[[#This Row],[STOCK]]*[1]!Tabla2[[#This Row],[COSTO]],0)</f>
        <v>0</v>
      </c>
    </row>
    <row r="282" spans="1:18" ht="15" customHeight="1" x14ac:dyDescent="0.35">
      <c r="A282" s="42" t="s">
        <v>828</v>
      </c>
      <c r="B282" s="32" t="s">
        <v>688</v>
      </c>
      <c r="C282" s="32" t="s">
        <v>482</v>
      </c>
      <c r="D282" s="33">
        <v>6</v>
      </c>
      <c r="E282" s="33">
        <v>3</v>
      </c>
      <c r="F282" s="34">
        <v>4</v>
      </c>
      <c r="G282" s="35" t="s">
        <v>829</v>
      </c>
      <c r="H282" s="36" t="s">
        <v>830</v>
      </c>
      <c r="I282" s="43">
        <v>50</v>
      </c>
      <c r="J282" s="88" t="s">
        <v>485</v>
      </c>
      <c r="K282" s="38">
        <v>23</v>
      </c>
      <c r="L282" s="44"/>
      <c r="M282" s="39">
        <f>SUMIFS([1]!Tabla6[SALIDA],[1]!Tabla6[CODIGO],Tabla29[[#This Row],[CODIGO]])</f>
        <v>6</v>
      </c>
      <c r="N282" s="39">
        <f>SUMIFS([1]!Tabla6[ENTRADA],[1]!Tabla6[CODIGO],Tabla29[[#This Row],[CODIGO]])</f>
        <v>0</v>
      </c>
      <c r="O282" s="40">
        <f>Tabla29[[#This Row],[DISP]]-Tabla29[[#This Row],[SALIDA]]+Tabla29[[#This Row],[ENTRADA]]</f>
        <v>44</v>
      </c>
      <c r="P282" s="29">
        <f>IFERROR(VLOOKUP(Tabla29[[#This Row],[CODIGO]],[1]!Tabla6[[CODIGO]:[PRECIO VENTA]],9,0),0)</f>
        <v>0</v>
      </c>
      <c r="Q282" s="29">
        <f>IFERROR(Tabla29[[#This Row],[PRECIO DETAL USD]]*0.8,0)</f>
        <v>18.400000000000002</v>
      </c>
      <c r="R282" s="30">
        <f>IFERROR([1]!Tabla2[[#This Row],[STOCK]]*[1]!Tabla2[[#This Row],[COSTO]],0)</f>
        <v>0</v>
      </c>
    </row>
    <row r="283" spans="1:18" ht="15" customHeight="1" x14ac:dyDescent="0.35">
      <c r="A283" s="42" t="s">
        <v>831</v>
      </c>
      <c r="B283" s="32" t="s">
        <v>688</v>
      </c>
      <c r="C283" s="32" t="s">
        <v>482</v>
      </c>
      <c r="D283" s="33">
        <v>6</v>
      </c>
      <c r="E283" s="33">
        <v>3</v>
      </c>
      <c r="F283" s="34">
        <v>10</v>
      </c>
      <c r="G283" s="35" t="s">
        <v>832</v>
      </c>
      <c r="H283" s="36" t="s">
        <v>833</v>
      </c>
      <c r="I283" s="43">
        <v>200</v>
      </c>
      <c r="J283" s="88" t="s">
        <v>485</v>
      </c>
      <c r="K283" s="38">
        <v>27</v>
      </c>
      <c r="L283" s="38">
        <v>21</v>
      </c>
      <c r="M283" s="39">
        <f>SUMIFS([1]!Tabla6[SALIDA],[1]!Tabla6[CODIGO],Tabla29[[#This Row],[CODIGO]])</f>
        <v>0</v>
      </c>
      <c r="N283" s="39">
        <f>SUMIFS([1]!Tabla6[ENTRADA],[1]!Tabla6[CODIGO],Tabla29[[#This Row],[CODIGO]])</f>
        <v>0</v>
      </c>
      <c r="O283" s="40">
        <f>Tabla29[[#This Row],[DISP]]-Tabla29[[#This Row],[SALIDA]]+Tabla29[[#This Row],[ENTRADA]]</f>
        <v>200</v>
      </c>
      <c r="P283" s="29">
        <f>IFERROR(VLOOKUP(Tabla29[[#This Row],[CODIGO]],[1]!Tabla6[[CODIGO]:[PRECIO VENTA]],9,0),0)</f>
        <v>0</v>
      </c>
      <c r="Q283" s="29">
        <f>IFERROR(Tabla29[[#This Row],[PRECIO DETAL USD]]*0.8,0)</f>
        <v>21.6</v>
      </c>
      <c r="R283" s="30">
        <f>IFERROR([1]!Tabla2[[#This Row],[STOCK]]*[1]!Tabla2[[#This Row],[COSTO]],0)</f>
        <v>0</v>
      </c>
    </row>
    <row r="284" spans="1:18" ht="15" customHeight="1" x14ac:dyDescent="0.35">
      <c r="A284" s="42" t="s">
        <v>834</v>
      </c>
      <c r="B284" s="32" t="s">
        <v>688</v>
      </c>
      <c r="C284" s="32" t="s">
        <v>482</v>
      </c>
      <c r="D284" s="33">
        <v>6</v>
      </c>
      <c r="E284" s="33">
        <v>3</v>
      </c>
      <c r="F284" s="34">
        <v>6</v>
      </c>
      <c r="G284" s="35" t="s">
        <v>835</v>
      </c>
      <c r="H284" s="36" t="s">
        <v>836</v>
      </c>
      <c r="I284" s="43">
        <v>60</v>
      </c>
      <c r="J284" s="88" t="s">
        <v>485</v>
      </c>
      <c r="K284" s="38">
        <v>37</v>
      </c>
      <c r="L284" s="44"/>
      <c r="M284" s="39">
        <f>SUMIFS([1]!Tabla6[SALIDA],[1]!Tabla6[CODIGO],Tabla29[[#This Row],[CODIGO]])</f>
        <v>0</v>
      </c>
      <c r="N284" s="39">
        <f>SUMIFS([1]!Tabla6[ENTRADA],[1]!Tabla6[CODIGO],Tabla29[[#This Row],[CODIGO]])</f>
        <v>0</v>
      </c>
      <c r="O284" s="40">
        <f>Tabla29[[#This Row],[DISP]]-Tabla29[[#This Row],[SALIDA]]+Tabla29[[#This Row],[ENTRADA]]</f>
        <v>60</v>
      </c>
      <c r="P284" s="29">
        <f>IFERROR(VLOOKUP(Tabla29[[#This Row],[CODIGO]],[1]!Tabla6[[CODIGO]:[PRECIO VENTA]],9,0),0)</f>
        <v>0</v>
      </c>
      <c r="Q284" s="29">
        <f>IFERROR(Tabla29[[#This Row],[PRECIO DETAL USD]]*0.8,0)</f>
        <v>29.6</v>
      </c>
      <c r="R284" s="30">
        <f>IFERROR([1]!Tabla2[[#This Row],[STOCK]]*[1]!Tabla2[[#This Row],[COSTO]],0)</f>
        <v>0</v>
      </c>
    </row>
    <row r="285" spans="1:18" ht="15" customHeight="1" x14ac:dyDescent="0.35">
      <c r="A285" s="42" t="s">
        <v>837</v>
      </c>
      <c r="B285" s="32" t="s">
        <v>838</v>
      </c>
      <c r="C285" s="32" t="s">
        <v>482</v>
      </c>
      <c r="D285" s="33">
        <v>6</v>
      </c>
      <c r="E285" s="33">
        <v>3</v>
      </c>
      <c r="F285" s="34">
        <v>11</v>
      </c>
      <c r="G285" s="35" t="s">
        <v>839</v>
      </c>
      <c r="H285" s="36" t="s">
        <v>840</v>
      </c>
      <c r="I285" s="43">
        <v>93</v>
      </c>
      <c r="J285" s="88" t="s">
        <v>485</v>
      </c>
      <c r="K285" s="38">
        <v>35</v>
      </c>
      <c r="L285" s="44"/>
      <c r="M285" s="39">
        <f>SUMIFS([1]!Tabla6[SALIDA],[1]!Tabla6[CODIGO],Tabla29[[#This Row],[CODIGO]])</f>
        <v>0</v>
      </c>
      <c r="N285" s="39">
        <f>SUMIFS([1]!Tabla6[ENTRADA],[1]!Tabla6[CODIGO],Tabla29[[#This Row],[CODIGO]])</f>
        <v>0</v>
      </c>
      <c r="O285" s="40">
        <f>Tabla29[[#This Row],[DISP]]-Tabla29[[#This Row],[SALIDA]]+Tabla29[[#This Row],[ENTRADA]]</f>
        <v>93</v>
      </c>
      <c r="P285" s="29">
        <f>IFERROR(VLOOKUP(Tabla29[[#This Row],[CODIGO]],[1]!Tabla6[[CODIGO]:[PRECIO VENTA]],9,0),0)</f>
        <v>0</v>
      </c>
      <c r="Q285" s="29">
        <f>IFERROR(Tabla29[[#This Row],[PRECIO DETAL USD]]*0.8,0)</f>
        <v>28</v>
      </c>
      <c r="R285" s="30">
        <f>IFERROR([1]!Tabla2[[#This Row],[STOCK]]*[1]!Tabla2[[#This Row],[COSTO]],0)</f>
        <v>1180.8</v>
      </c>
    </row>
    <row r="286" spans="1:18" ht="15" customHeight="1" x14ac:dyDescent="0.35">
      <c r="A286" s="42" t="s">
        <v>841</v>
      </c>
      <c r="B286" s="32" t="s">
        <v>838</v>
      </c>
      <c r="C286" s="32" t="s">
        <v>482</v>
      </c>
      <c r="D286" s="33">
        <v>6</v>
      </c>
      <c r="E286" s="33">
        <v>3</v>
      </c>
      <c r="F286" s="34">
        <v>5</v>
      </c>
      <c r="G286" s="35" t="s">
        <v>842</v>
      </c>
      <c r="H286" s="36" t="s">
        <v>843</v>
      </c>
      <c r="I286" s="43">
        <v>10</v>
      </c>
      <c r="J286" s="88" t="s">
        <v>485</v>
      </c>
      <c r="K286" s="38">
        <v>35</v>
      </c>
      <c r="L286" s="38">
        <v>27</v>
      </c>
      <c r="M286" s="39">
        <f>SUMIFS([1]!Tabla6[SALIDA],[1]!Tabla6[CODIGO],Tabla29[[#This Row],[CODIGO]])</f>
        <v>0</v>
      </c>
      <c r="N286" s="39">
        <f>SUMIFS([1]!Tabla6[ENTRADA],[1]!Tabla6[CODIGO],Tabla29[[#This Row],[CODIGO]])</f>
        <v>0</v>
      </c>
      <c r="O286" s="40">
        <f>Tabla29[[#This Row],[DISP]]-Tabla29[[#This Row],[SALIDA]]+Tabla29[[#This Row],[ENTRADA]]</f>
        <v>10</v>
      </c>
      <c r="P286" s="29">
        <f>IFERROR(VLOOKUP(Tabla29[[#This Row],[CODIGO]],[1]!Tabla6[[CODIGO]:[PRECIO VENTA]],9,0),0)</f>
        <v>0</v>
      </c>
      <c r="Q286" s="29">
        <f>IFERROR(Tabla29[[#This Row],[PRECIO DETAL USD]]*0.8,0)</f>
        <v>28</v>
      </c>
      <c r="R286" s="30">
        <f>IFERROR([1]!Tabla2[[#This Row],[STOCK]]*[1]!Tabla2[[#This Row],[COSTO]],0)</f>
        <v>0</v>
      </c>
    </row>
    <row r="287" spans="1:18" ht="15" customHeight="1" x14ac:dyDescent="0.4">
      <c r="A287" s="41">
        <v>29</v>
      </c>
      <c r="B287" s="32"/>
      <c r="C287" s="21"/>
      <c r="D287" s="22"/>
      <c r="E287" s="22"/>
      <c r="F287" s="22"/>
      <c r="G287" s="23" t="s">
        <v>844</v>
      </c>
      <c r="H287" s="24"/>
      <c r="I287" s="22"/>
      <c r="J287" s="25"/>
      <c r="K287" s="26" t="s">
        <v>20</v>
      </c>
      <c r="L287" s="22"/>
      <c r="M287" s="22"/>
      <c r="N287" s="22"/>
      <c r="O287" s="27" t="s">
        <v>21</v>
      </c>
      <c r="P287" s="28">
        <f>IFERROR(VLOOKUP(Tabla29[[#This Row],[CODIGO]],[1]!Tabla6[[CODIGO]:[PRECIO VENTA]],9,0),0)</f>
        <v>0</v>
      </c>
      <c r="Q287" s="29">
        <f>IFERROR(Tabla29[[#This Row],[PRECIO DETAL USD]]*0.8,0)</f>
        <v>0</v>
      </c>
      <c r="R287" s="30">
        <f>IFERROR([1]!Tabla2[[#This Row],[STOCK]]*[1]!Tabla2[[#This Row],[COSTO]],0)</f>
        <v>0</v>
      </c>
    </row>
    <row r="288" spans="1:18" ht="15" customHeight="1" x14ac:dyDescent="0.35">
      <c r="A288" s="42" t="s">
        <v>845</v>
      </c>
      <c r="B288" s="32" t="s">
        <v>838</v>
      </c>
      <c r="C288" s="32" t="s">
        <v>482</v>
      </c>
      <c r="D288" s="33">
        <v>8</v>
      </c>
      <c r="E288" s="33">
        <v>3</v>
      </c>
      <c r="F288" s="34">
        <v>2</v>
      </c>
      <c r="G288" s="35" t="s">
        <v>846</v>
      </c>
      <c r="H288" s="36" t="s">
        <v>847</v>
      </c>
      <c r="I288" s="43">
        <v>879</v>
      </c>
      <c r="J288" s="88" t="s">
        <v>485</v>
      </c>
      <c r="K288" s="38">
        <v>8</v>
      </c>
      <c r="L288" s="38">
        <v>5.5</v>
      </c>
      <c r="M288" s="39">
        <f>SUMIFS([1]!Tabla6[SALIDA],[1]!Tabla6[CODIGO],Tabla29[[#This Row],[CODIGO]])</f>
        <v>4</v>
      </c>
      <c r="N288" s="39">
        <f>SUMIFS([1]!Tabla6[ENTRADA],[1]!Tabla6[CODIGO],Tabla29[[#This Row],[CODIGO]])</f>
        <v>0</v>
      </c>
      <c r="O288" s="40">
        <f>Tabla29[[#This Row],[DISP]]-Tabla29[[#This Row],[SALIDA]]+Tabla29[[#This Row],[ENTRADA]]</f>
        <v>875</v>
      </c>
      <c r="P288" s="29">
        <f>IFERROR(VLOOKUP(Tabla29[[#This Row],[CODIGO]],[1]!Tabla6[[CODIGO]:[PRECIO VENTA]],9,0),0)</f>
        <v>0</v>
      </c>
      <c r="Q288" s="29">
        <f>IFERROR(Tabla29[[#This Row],[PRECIO DETAL USD]]*0.8,0)</f>
        <v>6.4</v>
      </c>
      <c r="R288" s="30">
        <f>IFERROR([1]!Tabla2[[#This Row],[STOCK]]*[1]!Tabla2[[#This Row],[COSTO]],0)</f>
        <v>2806.5440000000003</v>
      </c>
    </row>
    <row r="289" spans="1:18" ht="15" customHeight="1" x14ac:dyDescent="0.35">
      <c r="A289" s="42" t="s">
        <v>848</v>
      </c>
      <c r="B289" s="32" t="s">
        <v>838</v>
      </c>
      <c r="C289" s="32" t="s">
        <v>482</v>
      </c>
      <c r="D289" s="33">
        <v>8</v>
      </c>
      <c r="E289" s="33">
        <v>3</v>
      </c>
      <c r="F289" s="34">
        <v>3</v>
      </c>
      <c r="G289" s="35" t="s">
        <v>849</v>
      </c>
      <c r="H289" s="36" t="s">
        <v>850</v>
      </c>
      <c r="I289" s="43">
        <v>68</v>
      </c>
      <c r="J289" s="88" t="s">
        <v>485</v>
      </c>
      <c r="K289" s="38">
        <v>7.5</v>
      </c>
      <c r="L289" s="38">
        <v>4.9000000000000004</v>
      </c>
      <c r="M289" s="39">
        <f>SUMIFS([1]!Tabla6[SALIDA],[1]!Tabla6[CODIGO],Tabla29[[#This Row],[CODIGO]])</f>
        <v>2</v>
      </c>
      <c r="N289" s="39">
        <f>SUMIFS([1]!Tabla6[ENTRADA],[1]!Tabla6[CODIGO],Tabla29[[#This Row],[CODIGO]])</f>
        <v>0</v>
      </c>
      <c r="O289" s="40">
        <f>Tabla29[[#This Row],[DISP]]-Tabla29[[#This Row],[SALIDA]]+Tabla29[[#This Row],[ENTRADA]]</f>
        <v>66</v>
      </c>
      <c r="P289" s="29">
        <f>IFERROR(VLOOKUP(Tabla29[[#This Row],[CODIGO]],[1]!Tabla6[[CODIGO]:[PRECIO VENTA]],9,0),0)</f>
        <v>0</v>
      </c>
      <c r="Q289" s="29">
        <f>IFERROR(Tabla29[[#This Row],[PRECIO DETAL USD]]*0.8,0)</f>
        <v>6</v>
      </c>
      <c r="R289" s="30">
        <f>IFERROR([1]!Tabla2[[#This Row],[STOCK]]*[1]!Tabla2[[#This Row],[COSTO]],0)</f>
        <v>2448.1600000000003</v>
      </c>
    </row>
    <row r="290" spans="1:18" ht="15" customHeight="1" x14ac:dyDescent="0.35">
      <c r="A290" s="42" t="s">
        <v>851</v>
      </c>
      <c r="B290" s="32" t="s">
        <v>838</v>
      </c>
      <c r="C290" s="32" t="s">
        <v>482</v>
      </c>
      <c r="D290" s="33">
        <v>8</v>
      </c>
      <c r="E290" s="33">
        <v>3</v>
      </c>
      <c r="F290" s="34">
        <v>4</v>
      </c>
      <c r="G290" s="35" t="s">
        <v>852</v>
      </c>
      <c r="H290" s="36" t="s">
        <v>853</v>
      </c>
      <c r="I290" s="43">
        <v>142</v>
      </c>
      <c r="J290" s="88" t="s">
        <v>485</v>
      </c>
      <c r="K290" s="38">
        <v>8</v>
      </c>
      <c r="L290" s="38">
        <v>5.3</v>
      </c>
      <c r="M290" s="39">
        <f>SUMIFS([1]!Tabla6[SALIDA],[1]!Tabla6[CODIGO],Tabla29[[#This Row],[CODIGO]])</f>
        <v>18</v>
      </c>
      <c r="N290" s="39">
        <f>SUMIFS([1]!Tabla6[ENTRADA],[1]!Tabla6[CODIGO],Tabla29[[#This Row],[CODIGO]])</f>
        <v>0</v>
      </c>
      <c r="O290" s="40">
        <f>Tabla29[[#This Row],[DISP]]-Tabla29[[#This Row],[SALIDA]]+Tabla29[[#This Row],[ENTRADA]]</f>
        <v>124</v>
      </c>
      <c r="P290" s="29">
        <f>IFERROR(VLOOKUP(Tabla29[[#This Row],[CODIGO]],[1]!Tabla6[[CODIGO]:[PRECIO VENTA]],9,0),0)</f>
        <v>0</v>
      </c>
      <c r="Q290" s="29">
        <f>IFERROR(Tabla29[[#This Row],[PRECIO DETAL USD]]*0.8,0)</f>
        <v>6.4</v>
      </c>
      <c r="R290" s="30">
        <f>IFERROR([1]!Tabla2[[#This Row],[STOCK]]*[1]!Tabla2[[#This Row],[COSTO]],0)</f>
        <v>108.16</v>
      </c>
    </row>
    <row r="291" spans="1:18" x14ac:dyDescent="0.35">
      <c r="A291" s="42" t="s">
        <v>854</v>
      </c>
      <c r="B291" s="32" t="s">
        <v>838</v>
      </c>
      <c r="C291" s="32" t="s">
        <v>482</v>
      </c>
      <c r="D291" s="33">
        <v>8</v>
      </c>
      <c r="E291" s="33">
        <v>3</v>
      </c>
      <c r="F291" s="34">
        <v>6</v>
      </c>
      <c r="G291" s="35" t="s">
        <v>855</v>
      </c>
      <c r="H291" s="36" t="s">
        <v>856</v>
      </c>
      <c r="I291" s="43">
        <v>234</v>
      </c>
      <c r="J291" s="88" t="s">
        <v>485</v>
      </c>
      <c r="K291" s="38">
        <v>8</v>
      </c>
      <c r="L291" s="38">
        <v>5.4</v>
      </c>
      <c r="M291" s="39">
        <f>SUMIFS([1]!Tabla6[SALIDA],[1]!Tabla6[CODIGO],Tabla29[[#This Row],[CODIGO]])</f>
        <v>0</v>
      </c>
      <c r="N291" s="39">
        <f>SUMIFS([1]!Tabla6[ENTRADA],[1]!Tabla6[CODIGO],Tabla29[[#This Row],[CODIGO]])</f>
        <v>0</v>
      </c>
      <c r="O291" s="40">
        <f>Tabla29[[#This Row],[DISP]]-Tabla29[[#This Row],[SALIDA]]+Tabla29[[#This Row],[ENTRADA]]</f>
        <v>234</v>
      </c>
      <c r="P291" s="29">
        <f>IFERROR(VLOOKUP(Tabla29[[#This Row],[CODIGO]],[1]!Tabla6[[CODIGO]:[PRECIO VENTA]],9,0),0)</f>
        <v>0</v>
      </c>
      <c r="Q291" s="29">
        <f>IFERROR(Tabla29[[#This Row],[PRECIO DETAL USD]]*0.8,0)</f>
        <v>6.4</v>
      </c>
      <c r="R291" s="30">
        <f>IFERROR([1]!Tabla2[[#This Row],[STOCK]]*[1]!Tabla2[[#This Row],[COSTO]],0)</f>
        <v>1128</v>
      </c>
    </row>
    <row r="292" spans="1:18" x14ac:dyDescent="0.35">
      <c r="A292" s="42" t="s">
        <v>857</v>
      </c>
      <c r="B292" s="32" t="s">
        <v>838</v>
      </c>
      <c r="C292" s="32" t="s">
        <v>482</v>
      </c>
      <c r="D292" s="33">
        <v>8</v>
      </c>
      <c r="E292" s="33">
        <v>3</v>
      </c>
      <c r="F292" s="34">
        <v>7</v>
      </c>
      <c r="G292" s="35" t="s">
        <v>858</v>
      </c>
      <c r="H292" s="36" t="s">
        <v>859</v>
      </c>
      <c r="I292" s="43">
        <v>250</v>
      </c>
      <c r="J292" s="88" t="s">
        <v>485</v>
      </c>
      <c r="K292" s="38">
        <v>6</v>
      </c>
      <c r="L292" s="38">
        <v>4.5999999999999996</v>
      </c>
      <c r="M292" s="39">
        <f>SUMIFS([1]!Tabla6[SALIDA],[1]!Tabla6[CODIGO],Tabla29[[#This Row],[CODIGO]])</f>
        <v>26</v>
      </c>
      <c r="N292" s="39">
        <f>SUMIFS([1]!Tabla6[ENTRADA],[1]!Tabla6[CODIGO],Tabla29[[#This Row],[CODIGO]])</f>
        <v>0</v>
      </c>
      <c r="O292" s="40">
        <f>Tabla29[[#This Row],[DISP]]-Tabla29[[#This Row],[SALIDA]]+Tabla29[[#This Row],[ENTRADA]]</f>
        <v>224</v>
      </c>
      <c r="P292" s="29">
        <f>IFERROR(VLOOKUP(Tabla29[[#This Row],[CODIGO]],[1]!Tabla6[[CODIGO]:[PRECIO VENTA]],9,0),0)</f>
        <v>0</v>
      </c>
      <c r="Q292" s="29">
        <f>IFERROR(Tabla29[[#This Row],[PRECIO DETAL USD]]*0.8,0)</f>
        <v>4.8000000000000007</v>
      </c>
      <c r="R292" s="30">
        <f>IFERROR([1]!Tabla2[[#This Row],[STOCK]]*[1]!Tabla2[[#This Row],[COSTO]],0)</f>
        <v>0</v>
      </c>
    </row>
    <row r="293" spans="1:18" ht="15" hidden="1" customHeight="1" x14ac:dyDescent="0.35">
      <c r="A293" s="42" t="s">
        <v>860</v>
      </c>
      <c r="B293" s="32" t="s">
        <v>838</v>
      </c>
      <c r="C293" s="32" t="s">
        <v>482</v>
      </c>
      <c r="D293" s="33">
        <v>8</v>
      </c>
      <c r="E293" s="33">
        <v>3</v>
      </c>
      <c r="F293" s="34">
        <v>1</v>
      </c>
      <c r="G293" s="35" t="s">
        <v>861</v>
      </c>
      <c r="H293" s="36" t="s">
        <v>862</v>
      </c>
      <c r="I293" s="43">
        <v>10</v>
      </c>
      <c r="J293" s="88" t="s">
        <v>485</v>
      </c>
      <c r="K293" s="38">
        <v>5.2</v>
      </c>
      <c r="L293" s="44"/>
      <c r="M293" s="39">
        <f>SUMIFS([1]!Tabla6[SALIDA],[1]!Tabla6[CODIGO],Tabla29[[#This Row],[CODIGO]])</f>
        <v>10</v>
      </c>
      <c r="N293" s="39">
        <f>SUMIFS([1]!Tabla6[ENTRADA],[1]!Tabla6[CODIGO],Tabla29[[#This Row],[CODIGO]])</f>
        <v>0</v>
      </c>
      <c r="O293" s="40">
        <f>Tabla29[[#This Row],[DISP]]-Tabla29[[#This Row],[SALIDA]]+Tabla29[[#This Row],[ENTRADA]]</f>
        <v>0</v>
      </c>
      <c r="P293" s="29">
        <f>IFERROR(VLOOKUP(Tabla29[[#This Row],[CODIGO]],[1]!Tabla6[[CODIGO]:[PRECIO VENTA]],9,0),0)</f>
        <v>0</v>
      </c>
      <c r="Q293" s="29">
        <f>IFERROR(Tabla29[[#This Row],[PRECIO DETAL USD]]*0.8,0)</f>
        <v>4.16</v>
      </c>
      <c r="R293" s="30">
        <f>IFERROR([1]!Tabla2[[#This Row],[STOCK]]*[1]!Tabla2[[#This Row],[COSTO]],0)</f>
        <v>2201.6</v>
      </c>
    </row>
    <row r="294" spans="1:18" ht="15" customHeight="1" x14ac:dyDescent="0.35">
      <c r="A294" s="42" t="s">
        <v>863</v>
      </c>
      <c r="B294" s="32" t="s">
        <v>838</v>
      </c>
      <c r="C294" s="32" t="s">
        <v>482</v>
      </c>
      <c r="D294" s="33">
        <v>8</v>
      </c>
      <c r="E294" s="33">
        <v>3</v>
      </c>
      <c r="F294" s="34">
        <v>8</v>
      </c>
      <c r="G294" s="35" t="s">
        <v>864</v>
      </c>
      <c r="H294" s="36" t="s">
        <v>865</v>
      </c>
      <c r="I294" s="43">
        <v>501</v>
      </c>
      <c r="J294" s="88" t="s">
        <v>485</v>
      </c>
      <c r="K294" s="38">
        <v>6.5</v>
      </c>
      <c r="L294" s="38">
        <v>4.5</v>
      </c>
      <c r="M294" s="39">
        <f>SUMIFS([1]!Tabla6[SALIDA],[1]!Tabla6[CODIGO],Tabla29[[#This Row],[CODIGO]])</f>
        <v>13</v>
      </c>
      <c r="N294" s="39">
        <f>SUMIFS([1]!Tabla6[ENTRADA],[1]!Tabla6[CODIGO],Tabla29[[#This Row],[CODIGO]])</f>
        <v>0</v>
      </c>
      <c r="O294" s="40">
        <f>Tabla29[[#This Row],[DISP]]-Tabla29[[#This Row],[SALIDA]]+Tabla29[[#This Row],[ENTRADA]]</f>
        <v>488</v>
      </c>
      <c r="P294" s="29">
        <f>IFERROR(VLOOKUP(Tabla29[[#This Row],[CODIGO]],[1]!Tabla6[[CODIGO]:[PRECIO VENTA]],9,0),0)</f>
        <v>0</v>
      </c>
      <c r="Q294" s="29">
        <f>IFERROR(Tabla29[[#This Row],[PRECIO DETAL USD]]*0.8,0)</f>
        <v>5.2</v>
      </c>
      <c r="R294" s="30">
        <f>IFERROR([1]!Tabla2[[#This Row],[STOCK]]*[1]!Tabla2[[#This Row],[COSTO]],0)</f>
        <v>2569.6000000000004</v>
      </c>
    </row>
    <row r="295" spans="1:18" ht="15" customHeight="1" x14ac:dyDescent="0.35">
      <c r="A295" s="42" t="s">
        <v>866</v>
      </c>
      <c r="B295" s="32" t="s">
        <v>838</v>
      </c>
      <c r="C295" s="32" t="s">
        <v>482</v>
      </c>
      <c r="D295" s="33">
        <v>8</v>
      </c>
      <c r="E295" s="33">
        <v>3</v>
      </c>
      <c r="F295" s="34">
        <v>5</v>
      </c>
      <c r="G295" s="35" t="s">
        <v>867</v>
      </c>
      <c r="H295" s="36" t="s">
        <v>868</v>
      </c>
      <c r="I295" s="43">
        <v>10</v>
      </c>
      <c r="J295" s="88" t="s">
        <v>485</v>
      </c>
      <c r="K295" s="38">
        <v>13</v>
      </c>
      <c r="L295" s="38">
        <v>10.41</v>
      </c>
      <c r="M295" s="39">
        <f>SUMIFS([1]!Tabla6[SALIDA],[1]!Tabla6[CODIGO],Tabla29[[#This Row],[CODIGO]])</f>
        <v>5</v>
      </c>
      <c r="N295" s="39">
        <f>SUMIFS([1]!Tabla6[ENTRADA],[1]!Tabla6[CODIGO],Tabla29[[#This Row],[CODIGO]])</f>
        <v>0</v>
      </c>
      <c r="O295" s="40">
        <f>Tabla29[[#This Row],[DISP]]-Tabla29[[#This Row],[SALIDA]]+Tabla29[[#This Row],[ENTRADA]]</f>
        <v>5</v>
      </c>
      <c r="P295" s="29">
        <f>IFERROR(VLOOKUP(Tabla29[[#This Row],[CODIGO]],[1]!Tabla6[[CODIGO]:[PRECIO VENTA]],9,0),0)</f>
        <v>0</v>
      </c>
      <c r="Q295" s="29">
        <f>IFERROR(Tabla29[[#This Row],[PRECIO DETAL USD]]*0.8,0)</f>
        <v>10.4</v>
      </c>
      <c r="R295" s="30">
        <f>IFERROR([1]!Tabla2[[#This Row],[STOCK]]*[1]!Tabla2[[#This Row],[COSTO]],0)</f>
        <v>3942.4000000000005</v>
      </c>
    </row>
    <row r="296" spans="1:18" ht="15" customHeight="1" x14ac:dyDescent="0.35">
      <c r="A296" s="42" t="s">
        <v>869</v>
      </c>
      <c r="B296" s="32" t="s">
        <v>838</v>
      </c>
      <c r="C296" s="32" t="s">
        <v>482</v>
      </c>
      <c r="D296" s="33">
        <v>8</v>
      </c>
      <c r="E296" s="33">
        <v>3</v>
      </c>
      <c r="F296" s="34">
        <v>11</v>
      </c>
      <c r="G296" s="35" t="s">
        <v>870</v>
      </c>
      <c r="H296" s="36" t="s">
        <v>871</v>
      </c>
      <c r="I296" s="43">
        <v>10</v>
      </c>
      <c r="J296" s="88" t="s">
        <v>485</v>
      </c>
      <c r="K296" s="38">
        <v>8</v>
      </c>
      <c r="L296" s="38">
        <v>5.4</v>
      </c>
      <c r="M296" s="39">
        <f>SUMIFS([1]!Tabla6[SALIDA],[1]!Tabla6[CODIGO],Tabla29[[#This Row],[CODIGO]])</f>
        <v>0</v>
      </c>
      <c r="N296" s="39">
        <f>SUMIFS([1]!Tabla6[ENTRADA],[1]!Tabla6[CODIGO],Tabla29[[#This Row],[CODIGO]])</f>
        <v>0</v>
      </c>
      <c r="O296" s="40">
        <f>Tabla29[[#This Row],[DISP]]-Tabla29[[#This Row],[SALIDA]]+Tabla29[[#This Row],[ENTRADA]]</f>
        <v>10</v>
      </c>
      <c r="P296" s="29">
        <f>IFERROR(VLOOKUP(Tabla29[[#This Row],[CODIGO]],[1]!Tabla6[[CODIGO]:[PRECIO VENTA]],9,0),0)</f>
        <v>0</v>
      </c>
      <c r="Q296" s="29">
        <f>IFERROR(Tabla29[[#This Row],[PRECIO DETAL USD]]*0.8,0)</f>
        <v>6.4</v>
      </c>
      <c r="R296" s="30">
        <f>IFERROR([1]!Tabla2[[#This Row],[STOCK]]*[1]!Tabla2[[#This Row],[COSTO]],0)</f>
        <v>16872</v>
      </c>
    </row>
    <row r="297" spans="1:18" ht="15" customHeight="1" x14ac:dyDescent="0.35">
      <c r="A297" s="42" t="s">
        <v>872</v>
      </c>
      <c r="B297" s="32" t="s">
        <v>838</v>
      </c>
      <c r="C297" s="32" t="s">
        <v>482</v>
      </c>
      <c r="D297" s="33">
        <v>8</v>
      </c>
      <c r="E297" s="33">
        <v>3</v>
      </c>
      <c r="F297" s="34">
        <v>9</v>
      </c>
      <c r="G297" s="35" t="s">
        <v>873</v>
      </c>
      <c r="H297" s="36" t="s">
        <v>874</v>
      </c>
      <c r="I297" s="43">
        <v>400</v>
      </c>
      <c r="J297" s="88" t="s">
        <v>485</v>
      </c>
      <c r="K297" s="38">
        <v>7.5</v>
      </c>
      <c r="L297" s="38">
        <v>5.4</v>
      </c>
      <c r="M297" s="39">
        <f>SUMIFS([1]!Tabla6[SALIDA],[1]!Tabla6[CODIGO],Tabla29[[#This Row],[CODIGO]])</f>
        <v>14</v>
      </c>
      <c r="N297" s="39">
        <f>SUMIFS([1]!Tabla6[ENTRADA],[1]!Tabla6[CODIGO],Tabla29[[#This Row],[CODIGO]])</f>
        <v>0</v>
      </c>
      <c r="O297" s="40">
        <f>Tabla29[[#This Row],[DISP]]-Tabla29[[#This Row],[SALIDA]]+Tabla29[[#This Row],[ENTRADA]]</f>
        <v>386</v>
      </c>
      <c r="P297" s="29">
        <f>IFERROR(VLOOKUP(Tabla29[[#This Row],[CODIGO]],[1]!Tabla6[[CODIGO]:[PRECIO VENTA]],9,0),0)</f>
        <v>0</v>
      </c>
      <c r="Q297" s="29">
        <f>IFERROR(Tabla29[[#This Row],[PRECIO DETAL USD]]*0.8,0)</f>
        <v>6</v>
      </c>
      <c r="R297" s="30">
        <f>IFERROR([1]!Tabla2[[#This Row],[STOCK]]*[1]!Tabla2[[#This Row],[COSTO]],0)</f>
        <v>1416.8000000000002</v>
      </c>
    </row>
    <row r="298" spans="1:18" x14ac:dyDescent="0.35">
      <c r="A298" s="42" t="s">
        <v>875</v>
      </c>
      <c r="B298" s="32" t="s">
        <v>838</v>
      </c>
      <c r="C298" s="32" t="s">
        <v>482</v>
      </c>
      <c r="D298" s="33">
        <v>8</v>
      </c>
      <c r="E298" s="33">
        <v>3</v>
      </c>
      <c r="F298" s="34">
        <v>12</v>
      </c>
      <c r="G298" s="35" t="s">
        <v>876</v>
      </c>
      <c r="H298" s="36" t="s">
        <v>877</v>
      </c>
      <c r="I298" s="43">
        <v>294</v>
      </c>
      <c r="J298" s="88" t="s">
        <v>485</v>
      </c>
      <c r="K298" s="38">
        <v>8</v>
      </c>
      <c r="L298" s="38">
        <v>5.9</v>
      </c>
      <c r="M298" s="39">
        <f>SUMIFS([1]!Tabla6[SALIDA],[1]!Tabla6[CODIGO],Tabla29[[#This Row],[CODIGO]])</f>
        <v>3</v>
      </c>
      <c r="N298" s="39">
        <f>SUMIFS([1]!Tabla6[ENTRADA],[1]!Tabla6[CODIGO],Tabla29[[#This Row],[CODIGO]])</f>
        <v>0</v>
      </c>
      <c r="O298" s="40">
        <f>Tabla29[[#This Row],[DISP]]-Tabla29[[#This Row],[SALIDA]]+Tabla29[[#This Row],[ENTRADA]]</f>
        <v>291</v>
      </c>
      <c r="P298" s="29">
        <f>IFERROR(VLOOKUP(Tabla29[[#This Row],[CODIGO]],[1]!Tabla6[[CODIGO]:[PRECIO VENTA]],9,0),0)</f>
        <v>0</v>
      </c>
      <c r="Q298" s="29">
        <f>IFERROR(Tabla29[[#This Row],[PRECIO DETAL USD]]*0.8,0)</f>
        <v>6.4</v>
      </c>
      <c r="R298" s="30">
        <f>IFERROR([1]!Tabla2[[#This Row],[STOCK]]*[1]!Tabla2[[#This Row],[COSTO]],0)</f>
        <v>4147.2</v>
      </c>
    </row>
    <row r="299" spans="1:18" x14ac:dyDescent="0.35">
      <c r="A299" s="42" t="s">
        <v>878</v>
      </c>
      <c r="B299" s="32" t="s">
        <v>838</v>
      </c>
      <c r="C299" s="32" t="s">
        <v>482</v>
      </c>
      <c r="D299" s="33">
        <v>8</v>
      </c>
      <c r="E299" s="33">
        <v>3</v>
      </c>
      <c r="F299" s="34">
        <v>15</v>
      </c>
      <c r="G299" s="35" t="s">
        <v>879</v>
      </c>
      <c r="H299" s="36" t="s">
        <v>880</v>
      </c>
      <c r="I299" s="43">
        <v>0</v>
      </c>
      <c r="J299" s="88" t="s">
        <v>485</v>
      </c>
      <c r="K299" s="38">
        <v>10.5</v>
      </c>
      <c r="L299" s="44"/>
      <c r="M299" s="39">
        <f>SUMIFS([1]!Tabla6[SALIDA],[1]!Tabla6[CODIGO],Tabla29[[#This Row],[CODIGO]])</f>
        <v>0</v>
      </c>
      <c r="N299" s="39">
        <f>SUMIFS([1]!Tabla6[ENTRADA],[1]!Tabla6[CODIGO],Tabla29[[#This Row],[CODIGO]])</f>
        <v>0</v>
      </c>
      <c r="O299" s="40">
        <f>Tabla29[[#This Row],[DISP]]-Tabla29[[#This Row],[SALIDA]]+Tabla29[[#This Row],[ENTRADA]]</f>
        <v>0</v>
      </c>
      <c r="P299" s="29">
        <f>IFERROR(VLOOKUP(Tabla29[[#This Row],[CODIGO]],[1]!Tabla6[[CODIGO]:[PRECIO VENTA]],9,0),0)</f>
        <v>0</v>
      </c>
      <c r="Q299" s="29">
        <f>IFERROR(Tabla29[[#This Row],[PRECIO DETAL USD]]*0.8,0)</f>
        <v>8.4</v>
      </c>
      <c r="R299" s="30">
        <f>IFERROR([1]!Tabla2[[#This Row],[STOCK]]*[1]!Tabla2[[#This Row],[COSTO]],0)</f>
        <v>967.2</v>
      </c>
    </row>
    <row r="300" spans="1:18" x14ac:dyDescent="0.35">
      <c r="A300" s="42" t="s">
        <v>881</v>
      </c>
      <c r="B300" s="32" t="s">
        <v>838</v>
      </c>
      <c r="C300" s="32" t="s">
        <v>482</v>
      </c>
      <c r="D300" s="33">
        <v>8</v>
      </c>
      <c r="E300" s="33">
        <v>3</v>
      </c>
      <c r="F300" s="34">
        <v>10</v>
      </c>
      <c r="G300" s="35" t="s">
        <v>882</v>
      </c>
      <c r="H300" s="36" t="s">
        <v>883</v>
      </c>
      <c r="I300" s="43">
        <v>95</v>
      </c>
      <c r="J300" s="88" t="s">
        <v>485</v>
      </c>
      <c r="K300" s="38">
        <v>9.9</v>
      </c>
      <c r="L300" s="44"/>
      <c r="M300" s="39">
        <f>SUMIFS([1]!Tabla6[SALIDA],[1]!Tabla6[CODIGO],Tabla29[[#This Row],[CODIGO]])</f>
        <v>99</v>
      </c>
      <c r="N300" s="39">
        <f>SUMIFS([1]!Tabla6[ENTRADA],[1]!Tabla6[CODIGO],Tabla29[[#This Row],[CODIGO]])</f>
        <v>4</v>
      </c>
      <c r="O300" s="40">
        <f>Tabla29[[#This Row],[DISP]]-Tabla29[[#This Row],[SALIDA]]+Tabla29[[#This Row],[ENTRADA]]</f>
        <v>0</v>
      </c>
      <c r="P300" s="29">
        <f>IFERROR(VLOOKUP(Tabla29[[#This Row],[CODIGO]],[1]!Tabla6[[CODIGO]:[PRECIO VENTA]],9,0),0)</f>
        <v>0</v>
      </c>
      <c r="Q300" s="29">
        <f>IFERROR(Tabla29[[#This Row],[PRECIO DETAL USD]]*0.8,0)</f>
        <v>7.9200000000000008</v>
      </c>
      <c r="R300" s="30">
        <f>IFERROR([1]!Tabla2[[#This Row],[STOCK]]*[1]!Tabla2[[#This Row],[COSTO]],0)</f>
        <v>4224.0000000000009</v>
      </c>
    </row>
    <row r="301" spans="1:18" x14ac:dyDescent="0.35">
      <c r="A301" s="42" t="s">
        <v>884</v>
      </c>
      <c r="B301" s="32" t="s">
        <v>838</v>
      </c>
      <c r="C301" s="32" t="s">
        <v>482</v>
      </c>
      <c r="D301" s="33">
        <v>8</v>
      </c>
      <c r="E301" s="33">
        <v>3</v>
      </c>
      <c r="F301" s="34">
        <v>13</v>
      </c>
      <c r="G301" s="35" t="s">
        <v>885</v>
      </c>
      <c r="H301" s="36" t="s">
        <v>886</v>
      </c>
      <c r="I301" s="43">
        <v>11</v>
      </c>
      <c r="J301" s="88" t="s">
        <v>485</v>
      </c>
      <c r="K301" s="38">
        <v>13.5</v>
      </c>
      <c r="L301" s="38">
        <v>11.9</v>
      </c>
      <c r="M301" s="39">
        <f>SUMIFS([1]!Tabla6[SALIDA],[1]!Tabla6[CODIGO],Tabla29[[#This Row],[CODIGO]])</f>
        <v>11</v>
      </c>
      <c r="N301" s="39">
        <f>SUMIFS([1]!Tabla6[ENTRADA],[1]!Tabla6[CODIGO],Tabla29[[#This Row],[CODIGO]])</f>
        <v>210</v>
      </c>
      <c r="O301" s="40">
        <f>Tabla29[[#This Row],[DISP]]-Tabla29[[#This Row],[SALIDA]]+Tabla29[[#This Row],[ENTRADA]]</f>
        <v>210</v>
      </c>
      <c r="P301" s="29">
        <f>IFERROR(VLOOKUP(Tabla29[[#This Row],[CODIGO]],[1]!Tabla6[[CODIGO]:[PRECIO VENTA]],9,0),0)</f>
        <v>0</v>
      </c>
      <c r="Q301" s="29">
        <f>IFERROR(Tabla29[[#This Row],[PRECIO DETAL USD]]*0.8,0)</f>
        <v>10.8</v>
      </c>
      <c r="R301" s="30">
        <f>IFERROR([1]!Tabla2[[#This Row],[STOCK]]*[1]!Tabla2[[#This Row],[COSTO]],0)</f>
        <v>987.55200000000013</v>
      </c>
    </row>
    <row r="302" spans="1:18" ht="15" customHeight="1" x14ac:dyDescent="0.35">
      <c r="A302" s="42" t="s">
        <v>887</v>
      </c>
      <c r="B302" s="32" t="s">
        <v>746</v>
      </c>
      <c r="C302" s="32" t="s">
        <v>482</v>
      </c>
      <c r="D302" s="33">
        <v>8</v>
      </c>
      <c r="E302" s="33">
        <v>3</v>
      </c>
      <c r="F302" s="34">
        <v>16</v>
      </c>
      <c r="G302" s="35" t="s">
        <v>888</v>
      </c>
      <c r="H302" s="36" t="s">
        <v>889</v>
      </c>
      <c r="I302" s="43">
        <v>6</v>
      </c>
      <c r="J302" s="88" t="s">
        <v>485</v>
      </c>
      <c r="K302" s="38">
        <v>16.899999999999999</v>
      </c>
      <c r="L302" s="38"/>
      <c r="M302" s="39">
        <f>SUMIFS([1]!Tabla6[SALIDA],[1]!Tabla6[CODIGO],Tabla29[[#This Row],[CODIGO]])</f>
        <v>52</v>
      </c>
      <c r="N302" s="39">
        <f>SUMIFS([1]!Tabla6[ENTRADA],[1]!Tabla6[CODIGO],Tabla29[[#This Row],[CODIGO]])</f>
        <v>106</v>
      </c>
      <c r="O302" s="40">
        <f>Tabla29[[#This Row],[DISP]]-Tabla29[[#This Row],[SALIDA]]+Tabla29[[#This Row],[ENTRADA]]</f>
        <v>60</v>
      </c>
      <c r="P302" s="29">
        <f>IFERROR(VLOOKUP(Tabla29[[#This Row],[CODIGO]],[1]!Tabla6[[CODIGO]:[PRECIO VENTA]],9,0),0)</f>
        <v>0</v>
      </c>
      <c r="Q302" s="29">
        <f>IFERROR(Tabla29[[#This Row],[PRECIO DETAL USD]]*0.8,0)</f>
        <v>13.52</v>
      </c>
      <c r="R302" s="30">
        <f>IFERROR([1]!Tabla2[[#This Row],[STOCK]]*[1]!Tabla2[[#This Row],[COSTO]],0)</f>
        <v>0</v>
      </c>
    </row>
    <row r="303" spans="1:18" ht="15" customHeight="1" x14ac:dyDescent="0.35">
      <c r="A303" s="42" t="s">
        <v>890</v>
      </c>
      <c r="B303" s="32" t="s">
        <v>746</v>
      </c>
      <c r="C303" s="32" t="s">
        <v>482</v>
      </c>
      <c r="D303" s="33">
        <v>8</v>
      </c>
      <c r="E303" s="33">
        <v>3</v>
      </c>
      <c r="F303" s="34">
        <v>14</v>
      </c>
      <c r="G303" s="35" t="s">
        <v>891</v>
      </c>
      <c r="H303" s="36" t="s">
        <v>892</v>
      </c>
      <c r="I303" s="43">
        <v>400</v>
      </c>
      <c r="J303" s="88" t="s">
        <v>485</v>
      </c>
      <c r="K303" s="38">
        <v>35</v>
      </c>
      <c r="L303" s="38">
        <v>32</v>
      </c>
      <c r="M303" s="39">
        <f>SUMIFS([1]!Tabla6[SALIDA],[1]!Tabla6[CODIGO],Tabla29[[#This Row],[CODIGO]])</f>
        <v>15</v>
      </c>
      <c r="N303" s="39">
        <f>SUMIFS([1]!Tabla6[ENTRADA],[1]!Tabla6[CODIGO],Tabla29[[#This Row],[CODIGO]])</f>
        <v>0</v>
      </c>
      <c r="O303" s="40">
        <f>Tabla29[[#This Row],[DISP]]-Tabla29[[#This Row],[SALIDA]]+Tabla29[[#This Row],[ENTRADA]]</f>
        <v>385</v>
      </c>
      <c r="P303" s="29">
        <f>IFERROR(VLOOKUP(Tabla29[[#This Row],[CODIGO]],[1]!Tabla6[[CODIGO]:[PRECIO VENTA]],9,0),0)</f>
        <v>0</v>
      </c>
      <c r="Q303" s="29">
        <f>IFERROR(Tabla29[[#This Row],[PRECIO DETAL USD]]*0.8,0)</f>
        <v>28</v>
      </c>
      <c r="R303" s="30">
        <f>IFERROR([1]!Tabla2[[#This Row],[STOCK]]*[1]!Tabla2[[#This Row],[COSTO]],0)</f>
        <v>0</v>
      </c>
    </row>
    <row r="304" spans="1:18" ht="15" customHeight="1" x14ac:dyDescent="0.35">
      <c r="A304" s="42" t="s">
        <v>893</v>
      </c>
      <c r="B304" s="32" t="s">
        <v>746</v>
      </c>
      <c r="C304" s="32" t="s">
        <v>482</v>
      </c>
      <c r="D304" s="33">
        <v>15</v>
      </c>
      <c r="E304" s="33">
        <v>3</v>
      </c>
      <c r="F304" s="34">
        <v>1</v>
      </c>
      <c r="G304" s="35" t="s">
        <v>894</v>
      </c>
      <c r="H304" s="36" t="s">
        <v>895</v>
      </c>
      <c r="I304" s="43">
        <v>20</v>
      </c>
      <c r="J304" s="88" t="s">
        <v>485</v>
      </c>
      <c r="K304" s="38">
        <v>52</v>
      </c>
      <c r="L304" s="38">
        <v>39</v>
      </c>
      <c r="M304" s="39">
        <f>SUMIFS([1]!Tabla6[SALIDA],[1]!Tabla6[CODIGO],Tabla29[[#This Row],[CODIGO]])</f>
        <v>0</v>
      </c>
      <c r="N304" s="39">
        <f>SUMIFS([1]!Tabla6[ENTRADA],[1]!Tabla6[CODIGO],Tabla29[[#This Row],[CODIGO]])</f>
        <v>0</v>
      </c>
      <c r="O304" s="40">
        <f>Tabla29[[#This Row],[DISP]]-Tabla29[[#This Row],[SALIDA]]+Tabla29[[#This Row],[ENTRADA]]</f>
        <v>20</v>
      </c>
      <c r="P304" s="29">
        <f>IFERROR(VLOOKUP(Tabla29[[#This Row],[CODIGO]],[1]!Tabla6[[CODIGO]:[PRECIO VENTA]],9,0),0)</f>
        <v>0</v>
      </c>
      <c r="Q304" s="29">
        <f>IFERROR(Tabla29[[#This Row],[PRECIO DETAL USD]]*0.8,0)</f>
        <v>41.6</v>
      </c>
      <c r="R304" s="30">
        <f>IFERROR([1]!Tabla2[[#This Row],[STOCK]]*[1]!Tabla2[[#This Row],[COSTO]],0)</f>
        <v>3024</v>
      </c>
    </row>
    <row r="305" spans="1:18" ht="15" customHeight="1" x14ac:dyDescent="0.4">
      <c r="A305" s="41">
        <v>30</v>
      </c>
      <c r="B305" s="32"/>
      <c r="C305" s="21"/>
      <c r="D305" s="22"/>
      <c r="E305" s="22"/>
      <c r="F305" s="22"/>
      <c r="G305" s="23" t="s">
        <v>896</v>
      </c>
      <c r="H305" s="24"/>
      <c r="I305" s="22"/>
      <c r="J305" s="25"/>
      <c r="K305" s="26" t="s">
        <v>20</v>
      </c>
      <c r="L305" s="22"/>
      <c r="M305" s="22"/>
      <c r="N305" s="22"/>
      <c r="O305" s="27" t="s">
        <v>21</v>
      </c>
      <c r="P305" s="28">
        <f>IFERROR(VLOOKUP(Tabla29[[#This Row],[CODIGO]],[1]!Tabla6[[CODIGO]:[PRECIO VENTA]],9,0),0)</f>
        <v>0</v>
      </c>
      <c r="Q305" s="29">
        <f>IFERROR(Tabla29[[#This Row],[PRECIO DETAL USD]]*0.8,0)</f>
        <v>0</v>
      </c>
      <c r="R305" s="30">
        <f>IFERROR([1]!Tabla2[[#This Row],[STOCK]]*[1]!Tabla2[[#This Row],[COSTO]],0)</f>
        <v>272</v>
      </c>
    </row>
    <row r="306" spans="1:18" ht="15" customHeight="1" x14ac:dyDescent="0.35">
      <c r="A306" s="42" t="s">
        <v>897</v>
      </c>
      <c r="B306" s="32"/>
      <c r="C306" s="32"/>
      <c r="D306" s="33">
        <v>1</v>
      </c>
      <c r="E306" s="33">
        <v>56</v>
      </c>
      <c r="F306" s="34">
        <v>1</v>
      </c>
      <c r="G306" s="35" t="s">
        <v>898</v>
      </c>
      <c r="H306" s="36" t="s">
        <v>899</v>
      </c>
      <c r="I306" s="37"/>
      <c r="J306" s="43" t="s">
        <v>43</v>
      </c>
      <c r="K306" s="38">
        <v>787.4</v>
      </c>
      <c r="L306" s="38">
        <v>739</v>
      </c>
      <c r="M306" s="93">
        <f>SUMIFS([1]!Tabla6[SALIDA],[1]!Tabla6[CODIGO],Tabla29[[#This Row],[CODIGO]])</f>
        <v>0</v>
      </c>
      <c r="N306" s="39">
        <f>SUMIFS([1]!Tabla6[ENTRADA],[1]!Tabla6[CODIGO],Tabla29[[#This Row],[CODIGO]])</f>
        <v>20</v>
      </c>
      <c r="O306" s="40">
        <f>Tabla29[[#This Row],[DISP]]-Tabla29[[#This Row],[SALIDA]]+Tabla29[[#This Row],[ENTRADA]]</f>
        <v>20</v>
      </c>
      <c r="P306" s="29">
        <f>IFERROR(VLOOKUP(Tabla29[[#This Row],[CODIGO]],[1]!Tabla6[[CODIGO]:[PRECIO VENTA]],9,0),0)</f>
        <v>849.31506849315076</v>
      </c>
      <c r="Q306" s="29">
        <f>IFERROR(Tabla29[[#This Row],[PRECIO DETAL USD]]*0.8,0)</f>
        <v>629.92000000000007</v>
      </c>
      <c r="R306" s="30">
        <f>IFERROR([1]!Tabla2[[#This Row],[STOCK]]*[1]!Tabla2[[#This Row],[COSTO]],0)</f>
        <v>0</v>
      </c>
    </row>
    <row r="307" spans="1:18" ht="15" customHeight="1" x14ac:dyDescent="0.35">
      <c r="A307" s="42" t="s">
        <v>900</v>
      </c>
      <c r="B307" s="32" t="s">
        <v>901</v>
      </c>
      <c r="C307" s="32" t="s">
        <v>351</v>
      </c>
      <c r="D307" s="33">
        <v>1</v>
      </c>
      <c r="E307" s="33">
        <v>5</v>
      </c>
      <c r="F307" s="34">
        <v>1</v>
      </c>
      <c r="G307" s="35" t="s">
        <v>902</v>
      </c>
      <c r="H307" s="36" t="s">
        <v>903</v>
      </c>
      <c r="I307" s="37">
        <v>22</v>
      </c>
      <c r="J307" s="43" t="s">
        <v>43</v>
      </c>
      <c r="K307" s="38">
        <v>1490</v>
      </c>
      <c r="L307" s="44"/>
      <c r="M307" s="39">
        <f>SUMIFS([1]!Tabla6[SALIDA],[1]!Tabla6[CODIGO],Tabla29[[#This Row],[CODIGO]])</f>
        <v>3</v>
      </c>
      <c r="N307" s="39">
        <f>SUMIFS([1]!Tabla6[ENTRADA],[1]!Tabla6[CODIGO],Tabla29[[#This Row],[CODIGO]])</f>
        <v>0</v>
      </c>
      <c r="O307" s="40">
        <f>Tabla29[[#This Row],[DISP]]-Tabla29[[#This Row],[SALIDA]]+Tabla29[[#This Row],[ENTRADA]]</f>
        <v>19</v>
      </c>
      <c r="P307" s="29">
        <f>IFERROR(VLOOKUP(Tabla29[[#This Row],[CODIGO]],[1]!Tabla6[[CODIGO]:[PRECIO VENTA]],9,0),0)</f>
        <v>0</v>
      </c>
      <c r="Q307" s="29">
        <f>IFERROR(Tabla29[[#This Row],[PRECIO DETAL USD]]*0.8,0)</f>
        <v>1192</v>
      </c>
      <c r="R307" s="30">
        <f>IFERROR([1]!Tabla2[[#This Row],[STOCK]]*[1]!Tabla2[[#This Row],[COSTO]],0)</f>
        <v>327.488</v>
      </c>
    </row>
    <row r="308" spans="1:18" ht="15" customHeight="1" x14ac:dyDescent="0.35">
      <c r="A308" s="42" t="s">
        <v>904</v>
      </c>
      <c r="B308" s="32" t="s">
        <v>901</v>
      </c>
      <c r="C308" s="32" t="s">
        <v>351</v>
      </c>
      <c r="D308" s="33">
        <v>1</v>
      </c>
      <c r="E308" s="33">
        <v>5</v>
      </c>
      <c r="F308" s="34">
        <v>2</v>
      </c>
      <c r="G308" s="35" t="s">
        <v>905</v>
      </c>
      <c r="H308" s="36" t="s">
        <v>906</v>
      </c>
      <c r="I308" s="37">
        <v>5</v>
      </c>
      <c r="J308" s="43" t="s">
        <v>43</v>
      </c>
      <c r="K308" s="38">
        <v>1250</v>
      </c>
      <c r="L308" s="44"/>
      <c r="M308" s="39">
        <f>SUMIFS([1]!Tabla6[SALIDA],[1]!Tabla6[CODIGO],Tabla29[[#This Row],[CODIGO]])</f>
        <v>0</v>
      </c>
      <c r="N308" s="39">
        <f>SUMIFS([1]!Tabla6[ENTRADA],[1]!Tabla6[CODIGO],Tabla29[[#This Row],[CODIGO]])</f>
        <v>0</v>
      </c>
      <c r="O308" s="40">
        <f>Tabla29[[#This Row],[DISP]]-Tabla29[[#This Row],[SALIDA]]+Tabla29[[#This Row],[ENTRADA]]</f>
        <v>5</v>
      </c>
      <c r="P308" s="29">
        <f>IFERROR(VLOOKUP(Tabla29[[#This Row],[CODIGO]],[1]!Tabla6[[CODIGO]:[PRECIO VENTA]],9,0),0)</f>
        <v>0</v>
      </c>
      <c r="Q308" s="29">
        <f>IFERROR(Tabla29[[#This Row],[PRECIO DETAL USD]]*0.8,0)</f>
        <v>1000</v>
      </c>
      <c r="R308" s="30">
        <f>IFERROR([1]!Tabla2[[#This Row],[STOCK]]*[1]!Tabla2[[#This Row],[COSTO]],0)</f>
        <v>11.088000000000001</v>
      </c>
    </row>
    <row r="309" spans="1:18" ht="15" customHeight="1" x14ac:dyDescent="0.4">
      <c r="A309" s="41">
        <v>31</v>
      </c>
      <c r="B309" s="32"/>
      <c r="C309" s="21"/>
      <c r="D309" s="22"/>
      <c r="E309" s="22"/>
      <c r="F309" s="22"/>
      <c r="G309" s="23" t="s">
        <v>907</v>
      </c>
      <c r="H309" s="24"/>
      <c r="I309" s="22"/>
      <c r="J309" s="25"/>
      <c r="K309" s="26" t="s">
        <v>20</v>
      </c>
      <c r="L309" s="22"/>
      <c r="M309" s="22"/>
      <c r="N309" s="22"/>
      <c r="O309" s="27" t="s">
        <v>21</v>
      </c>
      <c r="P309" s="28">
        <f>IFERROR(VLOOKUP(Tabla29[[#This Row],[CODIGO]],[1]!Tabla6[[CODIGO]:[PRECIO VENTA]],9,0),0)</f>
        <v>0</v>
      </c>
      <c r="Q309" s="29">
        <f>IFERROR(Tabla29[[#This Row],[PRECIO DETAL USD]]*0.8,0)</f>
        <v>0</v>
      </c>
      <c r="R309" s="30">
        <f>IFERROR([1]!Tabla2[[#This Row],[STOCK]]*[1]!Tabla2[[#This Row],[COSTO]],0)</f>
        <v>0</v>
      </c>
    </row>
    <row r="310" spans="1:18" ht="15" customHeight="1" x14ac:dyDescent="0.35">
      <c r="A310" s="42" t="s">
        <v>908</v>
      </c>
      <c r="B310" s="32" t="s">
        <v>909</v>
      </c>
      <c r="C310" s="32" t="s">
        <v>351</v>
      </c>
      <c r="D310" s="33">
        <v>1</v>
      </c>
      <c r="E310" s="33">
        <v>6</v>
      </c>
      <c r="F310" s="34">
        <v>4</v>
      </c>
      <c r="G310" s="35" t="s">
        <v>910</v>
      </c>
      <c r="H310" s="36" t="s">
        <v>911</v>
      </c>
      <c r="I310" s="37">
        <v>50</v>
      </c>
      <c r="J310" s="43" t="s">
        <v>43</v>
      </c>
      <c r="K310" s="38">
        <v>105.78</v>
      </c>
      <c r="L310" s="38">
        <v>104</v>
      </c>
      <c r="M310" s="39">
        <f>SUMIFS([1]!Tabla6[SALIDA],[1]!Tabla6[CODIGO],Tabla29[[#This Row],[CODIGO]])</f>
        <v>14</v>
      </c>
      <c r="N310" s="39">
        <f>SUMIFS([1]!Tabla6[ENTRADA],[1]!Tabla6[CODIGO],Tabla29[[#This Row],[CODIGO]])</f>
        <v>0</v>
      </c>
      <c r="O310" s="40">
        <f>Tabla29[[#This Row],[DISP]]-Tabla29[[#This Row],[SALIDA]]+Tabla29[[#This Row],[ENTRADA]]</f>
        <v>36</v>
      </c>
      <c r="P310" s="29">
        <f>IFERROR(VLOOKUP(Tabla29[[#This Row],[CODIGO]],[1]!Tabla6[[CODIGO]:[PRECIO VENTA]],9,0),0)</f>
        <v>0</v>
      </c>
      <c r="Q310" s="29">
        <f>IFERROR(Tabla29[[#This Row],[PRECIO DETAL USD]]*0.8,0)</f>
        <v>84.624000000000009</v>
      </c>
      <c r="R310" s="30">
        <f>IFERROR([1]!Tabla2[[#This Row],[STOCK]]*[1]!Tabla2[[#This Row],[COSTO]],0)</f>
        <v>251.71200000000002</v>
      </c>
    </row>
    <row r="311" spans="1:18" ht="15" customHeight="1" x14ac:dyDescent="0.35">
      <c r="A311" s="42" t="s">
        <v>912</v>
      </c>
      <c r="B311" s="32"/>
      <c r="C311" s="32" t="s">
        <v>351</v>
      </c>
      <c r="D311" s="33"/>
      <c r="E311" s="33"/>
      <c r="F311" s="34"/>
      <c r="G311" s="35" t="s">
        <v>913</v>
      </c>
      <c r="H311" s="36" t="s">
        <v>914</v>
      </c>
      <c r="I311" s="37"/>
      <c r="J311" s="43" t="s">
        <v>43</v>
      </c>
      <c r="K311" s="38">
        <v>134.69999999999999</v>
      </c>
      <c r="L311" s="38">
        <v>129</v>
      </c>
      <c r="M311" s="39">
        <f>SUMIFS([1]!Tabla6[SALIDA],[1]!Tabla6[CODIGO],Tabla29[[#This Row],[CODIGO]])</f>
        <v>10</v>
      </c>
      <c r="N311" s="39">
        <f>SUMIFS([1]!Tabla6[ENTRADA],[1]!Tabla6[CODIGO],Tabla29[[#This Row],[CODIGO]])</f>
        <v>20</v>
      </c>
      <c r="O311" s="40">
        <f>Tabla29[[#This Row],[DISP]]-Tabla29[[#This Row],[SALIDA]]+Tabla29[[#This Row],[ENTRADA]]</f>
        <v>10</v>
      </c>
      <c r="P311" s="29">
        <f>IFERROR(VLOOKUP(Tabla29[[#This Row],[CODIGO]],[1]!Tabla6[[CODIGO]:[PRECIO VENTA]],9,0),0)</f>
        <v>141.55844155844156</v>
      </c>
      <c r="Q311" s="29">
        <f>IFERROR(Tabla29[[#This Row],[PRECIO DETAL USD]]*0.8,0)</f>
        <v>107.75999999999999</v>
      </c>
      <c r="R311" s="30">
        <f>IFERROR([1]!Tabla2[[#This Row],[STOCK]]*[1]!Tabla2[[#This Row],[COSTO]],0)</f>
        <v>308.99200000000002</v>
      </c>
    </row>
    <row r="312" spans="1:18" ht="15" customHeight="1" x14ac:dyDescent="0.35">
      <c r="A312" s="42" t="s">
        <v>915</v>
      </c>
      <c r="B312" s="32" t="s">
        <v>909</v>
      </c>
      <c r="C312" s="32" t="s">
        <v>351</v>
      </c>
      <c r="D312" s="33">
        <v>1</v>
      </c>
      <c r="E312" s="33">
        <v>6</v>
      </c>
      <c r="F312" s="34">
        <v>1</v>
      </c>
      <c r="G312" s="35" t="s">
        <v>916</v>
      </c>
      <c r="H312" s="36" t="s">
        <v>917</v>
      </c>
      <c r="I312" s="37">
        <v>82</v>
      </c>
      <c r="J312" s="43" t="s">
        <v>43</v>
      </c>
      <c r="K312" s="38">
        <v>90</v>
      </c>
      <c r="L312" s="44"/>
      <c r="M312" s="39">
        <f>SUMIFS([1]!Tabla6[SALIDA],[1]!Tabla6[CODIGO],Tabla29[[#This Row],[CODIGO]])</f>
        <v>12</v>
      </c>
      <c r="N312" s="39">
        <f>SUMIFS([1]!Tabla6[ENTRADA],[1]!Tabla6[CODIGO],Tabla29[[#This Row],[CODIGO]])</f>
        <v>0</v>
      </c>
      <c r="O312" s="40">
        <f>Tabla29[[#This Row],[DISP]]-Tabla29[[#This Row],[SALIDA]]+Tabla29[[#This Row],[ENTRADA]]</f>
        <v>70</v>
      </c>
      <c r="P312" s="29">
        <f>IFERROR(VLOOKUP(Tabla29[[#This Row],[CODIGO]],[1]!Tabla6[[CODIGO]:[PRECIO VENTA]],9,0),0)</f>
        <v>0</v>
      </c>
      <c r="Q312" s="29">
        <f>IFERROR(Tabla29[[#This Row],[PRECIO DETAL USD]]*0.8,0)</f>
        <v>72</v>
      </c>
      <c r="R312" s="30">
        <f>IFERROR([1]!Tabla2[[#This Row],[STOCK]]*[1]!Tabla2[[#This Row],[COSTO]],0)</f>
        <v>384</v>
      </c>
    </row>
    <row r="313" spans="1:18" x14ac:dyDescent="0.35">
      <c r="A313" s="42" t="s">
        <v>918</v>
      </c>
      <c r="B313" s="32" t="s">
        <v>909</v>
      </c>
      <c r="C313" s="32" t="s">
        <v>351</v>
      </c>
      <c r="D313" s="33">
        <v>1</v>
      </c>
      <c r="E313" s="33">
        <v>6</v>
      </c>
      <c r="F313" s="34">
        <v>2</v>
      </c>
      <c r="G313" s="35" t="s">
        <v>919</v>
      </c>
      <c r="H313" s="36" t="s">
        <v>920</v>
      </c>
      <c r="I313" s="37">
        <v>81</v>
      </c>
      <c r="J313" s="43" t="s">
        <v>43</v>
      </c>
      <c r="K313" s="38">
        <v>190</v>
      </c>
      <c r="L313" s="44"/>
      <c r="M313" s="39">
        <f>SUMIFS([1]!Tabla6[SALIDA],[1]!Tabla6[CODIGO],Tabla29[[#This Row],[CODIGO]])</f>
        <v>2</v>
      </c>
      <c r="N313" s="39">
        <f>SUMIFS([1]!Tabla6[ENTRADA],[1]!Tabla6[CODIGO],Tabla29[[#This Row],[CODIGO]])</f>
        <v>0</v>
      </c>
      <c r="O313" s="40">
        <f>Tabla29[[#This Row],[DISP]]-Tabla29[[#This Row],[SALIDA]]+Tabla29[[#This Row],[ENTRADA]]</f>
        <v>79</v>
      </c>
      <c r="P313" s="29">
        <f>IFERROR(VLOOKUP(Tabla29[[#This Row],[CODIGO]],[1]!Tabla6[[CODIGO]:[PRECIO VENTA]],9,0),0)</f>
        <v>0</v>
      </c>
      <c r="Q313" s="29">
        <f>IFERROR(Tabla29[[#This Row],[PRECIO DETAL USD]]*0.8,0)</f>
        <v>152</v>
      </c>
      <c r="R313" s="30">
        <f>IFERROR([1]!Tabla2[[#This Row],[STOCK]]*[1]!Tabla2[[#This Row],[COSTO]],0)</f>
        <v>1283.136</v>
      </c>
    </row>
    <row r="314" spans="1:18" hidden="1" x14ac:dyDescent="0.35">
      <c r="A314" s="42" t="s">
        <v>921</v>
      </c>
      <c r="B314" s="32" t="s">
        <v>909</v>
      </c>
      <c r="C314" s="32" t="s">
        <v>351</v>
      </c>
      <c r="D314" s="33">
        <v>1</v>
      </c>
      <c r="E314" s="33">
        <v>6</v>
      </c>
      <c r="F314" s="34">
        <v>3</v>
      </c>
      <c r="G314" s="35" t="s">
        <v>922</v>
      </c>
      <c r="H314" s="36" t="s">
        <v>923</v>
      </c>
      <c r="I314" s="37">
        <v>0</v>
      </c>
      <c r="J314" s="43" t="s">
        <v>43</v>
      </c>
      <c r="K314" s="38">
        <v>900</v>
      </c>
      <c r="L314" s="44"/>
      <c r="M314" s="39">
        <f>SUMIFS([1]!Tabla6[SALIDA],[1]!Tabla6[CODIGO],Tabla29[[#This Row],[CODIGO]])</f>
        <v>0</v>
      </c>
      <c r="N314" s="39">
        <f>SUMIFS([1]!Tabla6[ENTRADA],[1]!Tabla6[CODIGO],Tabla29[[#This Row],[CODIGO]])</f>
        <v>0</v>
      </c>
      <c r="O314" s="40">
        <f>Tabla29[[#This Row],[DISP]]-Tabla29[[#This Row],[SALIDA]]+Tabla29[[#This Row],[ENTRADA]]</f>
        <v>0</v>
      </c>
      <c r="P314" s="29">
        <f>IFERROR(VLOOKUP(Tabla29[[#This Row],[CODIGO]],[1]!Tabla6[[CODIGO]:[PRECIO VENTA]],9,0),0)</f>
        <v>0</v>
      </c>
      <c r="Q314" s="29">
        <f>IFERROR(Tabla29[[#This Row],[PRECIO DETAL USD]]*0.8,0)</f>
        <v>720</v>
      </c>
      <c r="R314" s="30">
        <f>IFERROR([1]!Tabla2[[#This Row],[STOCK]]*[1]!Tabla2[[#This Row],[COSTO]],0)</f>
        <v>749.45600000000002</v>
      </c>
    </row>
    <row r="315" spans="1:18" x14ac:dyDescent="0.35">
      <c r="A315" s="42" t="s">
        <v>924</v>
      </c>
      <c r="B315" s="48"/>
      <c r="C315" s="48"/>
      <c r="D315" s="49"/>
      <c r="E315" s="49"/>
      <c r="F315" s="50"/>
      <c r="G315" s="35" t="s">
        <v>925</v>
      </c>
      <c r="H315" s="36" t="s">
        <v>926</v>
      </c>
      <c r="I315" s="51"/>
      <c r="J315" s="52" t="s">
        <v>43</v>
      </c>
      <c r="K315" s="53">
        <v>67.349999999999994</v>
      </c>
      <c r="L315" s="65"/>
      <c r="M315" s="45">
        <f>SUMIFS([1]!Tabla6[SALIDA],[1]!Tabla6[CODIGO],Tabla29[[#This Row],[CODIGO]])</f>
        <v>1</v>
      </c>
      <c r="N315" s="45">
        <f>SUMIFS([1]!Tabla6[ENTRADA],[1]!Tabla6[CODIGO],Tabla29[[#This Row],[CODIGO]])</f>
        <v>2</v>
      </c>
      <c r="O315" s="40">
        <f>Tabla29[[#This Row],[DISP]]-Tabla29[[#This Row],[SALIDA]]+Tabla29[[#This Row],[ENTRADA]]</f>
        <v>1</v>
      </c>
      <c r="P315" s="66">
        <f>IFERROR(VLOOKUP(Tabla29[[#This Row],[CODIGO]],[1]!Tabla6[[CODIGO]:[PRECIO VENTA]],9,0),0)</f>
        <v>0</v>
      </c>
      <c r="Q315" s="67">
        <f>IFERROR(Tabla29[[#This Row],[PRECIO DETAL USD]]*0.8,0)</f>
        <v>53.879999999999995</v>
      </c>
      <c r="R315" s="70">
        <f>IFERROR([1]!Tabla2[[#This Row],[STOCK]]*[1]!Tabla2[[#This Row],[COSTO]],0)</f>
        <v>421.12</v>
      </c>
    </row>
    <row r="316" spans="1:18" ht="15" customHeight="1" x14ac:dyDescent="0.4">
      <c r="A316" s="41">
        <v>32</v>
      </c>
      <c r="B316" s="32"/>
      <c r="C316" s="21"/>
      <c r="D316" s="22"/>
      <c r="E316" s="22"/>
      <c r="F316" s="22"/>
      <c r="G316" s="23" t="s">
        <v>927</v>
      </c>
      <c r="H316" s="24"/>
      <c r="I316" s="22"/>
      <c r="J316" s="25"/>
      <c r="K316" s="26" t="s">
        <v>20</v>
      </c>
      <c r="L316" s="22"/>
      <c r="M316" s="22"/>
      <c r="N316" s="22"/>
      <c r="O316" s="27" t="s">
        <v>21</v>
      </c>
      <c r="P316" s="28">
        <f>IFERROR(VLOOKUP(Tabla29[[#This Row],[CODIGO]],[1]!Tabla6[[CODIGO]:[PRECIO VENTA]],9,0),0)</f>
        <v>0</v>
      </c>
      <c r="Q316" s="29">
        <f>IFERROR(Tabla29[[#This Row],[PRECIO DETAL USD]]*0.8,0)</f>
        <v>0</v>
      </c>
      <c r="R316" s="30">
        <f>IFERROR([1]!Tabla2[[#This Row],[STOCK]]*[1]!Tabla2[[#This Row],[COSTO]],0)</f>
        <v>0</v>
      </c>
    </row>
    <row r="317" spans="1:18" ht="15" customHeight="1" x14ac:dyDescent="0.35">
      <c r="A317" s="42" t="s">
        <v>928</v>
      </c>
      <c r="B317" s="32" t="s">
        <v>929</v>
      </c>
      <c r="C317" s="32" t="s">
        <v>351</v>
      </c>
      <c r="D317" s="33">
        <v>1</v>
      </c>
      <c r="E317" s="33">
        <v>7</v>
      </c>
      <c r="F317" s="34">
        <v>1</v>
      </c>
      <c r="G317" s="35" t="s">
        <v>930</v>
      </c>
      <c r="H317" s="36" t="s">
        <v>931</v>
      </c>
      <c r="I317" s="37">
        <v>3</v>
      </c>
      <c r="J317" s="43" t="s">
        <v>43</v>
      </c>
      <c r="K317" s="38">
        <v>28</v>
      </c>
      <c r="L317" s="44"/>
      <c r="M317" s="39">
        <f>SUMIFS([1]!Tabla6[SALIDA],[1]!Tabla6[CODIGO],Tabla29[[#This Row],[CODIGO]])</f>
        <v>0</v>
      </c>
      <c r="N317" s="39">
        <f>SUMIFS([1]!Tabla6[ENTRADA],[1]!Tabla6[CODIGO],Tabla29[[#This Row],[CODIGO]])</f>
        <v>0</v>
      </c>
      <c r="O317" s="40">
        <f>Tabla29[[#This Row],[DISP]]-Tabla29[[#This Row],[SALIDA]]+Tabla29[[#This Row],[ENTRADA]]</f>
        <v>3</v>
      </c>
      <c r="P317" s="29">
        <f>IFERROR(VLOOKUP(Tabla29[[#This Row],[CODIGO]],[1]!Tabla6[[CODIGO]:[PRECIO VENTA]],9,0),0)</f>
        <v>0</v>
      </c>
      <c r="Q317" s="29">
        <f>IFERROR(Tabla29[[#This Row],[PRECIO DETAL USD]]*0.8,0)</f>
        <v>22.400000000000002</v>
      </c>
      <c r="R317" s="30">
        <f>IFERROR([1]!Tabla2[[#This Row],[STOCK]]*[1]!Tabla2[[#This Row],[COSTO]],0)</f>
        <v>0</v>
      </c>
    </row>
    <row r="318" spans="1:18" ht="15" customHeight="1" x14ac:dyDescent="0.35">
      <c r="A318" s="42" t="s">
        <v>932</v>
      </c>
      <c r="B318" s="32" t="s">
        <v>929</v>
      </c>
      <c r="C318" s="32" t="s">
        <v>351</v>
      </c>
      <c r="D318" s="33">
        <v>1</v>
      </c>
      <c r="E318" s="33">
        <v>7</v>
      </c>
      <c r="F318" s="34">
        <v>2</v>
      </c>
      <c r="G318" s="35" t="s">
        <v>933</v>
      </c>
      <c r="H318" s="36" t="s">
        <v>934</v>
      </c>
      <c r="I318" s="37">
        <v>46</v>
      </c>
      <c r="J318" s="43" t="s">
        <v>43</v>
      </c>
      <c r="K318" s="38">
        <v>190.97</v>
      </c>
      <c r="L318" s="44"/>
      <c r="M318" s="39">
        <f>SUMIFS([1]!Tabla6[SALIDA],[1]!Tabla6[CODIGO],Tabla29[[#This Row],[CODIGO]])</f>
        <v>6</v>
      </c>
      <c r="N318" s="39">
        <f>SUMIFS([1]!Tabla6[ENTRADA],[1]!Tabla6[CODIGO],Tabla29[[#This Row],[CODIGO]])</f>
        <v>15</v>
      </c>
      <c r="O318" s="40">
        <f>Tabla29[[#This Row],[DISP]]-Tabla29[[#This Row],[SALIDA]]+Tabla29[[#This Row],[ENTRADA]]</f>
        <v>55</v>
      </c>
      <c r="P318" s="29">
        <f>IFERROR(VLOOKUP(Tabla29[[#This Row],[CODIGO]],[1]!Tabla6[[CODIGO]:[PRECIO VENTA]],9,0),0)</f>
        <v>0</v>
      </c>
      <c r="Q318" s="29">
        <f>IFERROR(Tabla29[[#This Row],[PRECIO DETAL USD]]*0.8,0)</f>
        <v>152.77600000000001</v>
      </c>
      <c r="R318" s="30">
        <f>IFERROR([1]!Tabla2[[#This Row],[STOCK]]*[1]!Tabla2[[#This Row],[COSTO]],0)</f>
        <v>0</v>
      </c>
    </row>
    <row r="319" spans="1:18" ht="15" hidden="1" customHeight="1" x14ac:dyDescent="0.35">
      <c r="A319" s="42" t="s">
        <v>935</v>
      </c>
      <c r="B319" s="32" t="s">
        <v>929</v>
      </c>
      <c r="C319" s="32" t="s">
        <v>351</v>
      </c>
      <c r="D319" s="33">
        <v>1</v>
      </c>
      <c r="E319" s="33">
        <v>7</v>
      </c>
      <c r="F319" s="34">
        <v>3</v>
      </c>
      <c r="G319" s="35" t="s">
        <v>936</v>
      </c>
      <c r="H319" s="36" t="s">
        <v>937</v>
      </c>
      <c r="I319" s="37">
        <v>0</v>
      </c>
      <c r="J319" s="43" t="s">
        <v>43</v>
      </c>
      <c r="K319" s="38">
        <v>40</v>
      </c>
      <c r="L319" s="44"/>
      <c r="M319" s="39">
        <f>SUMIFS([1]!Tabla6[SALIDA],[1]!Tabla6[CODIGO],Tabla29[[#This Row],[CODIGO]])</f>
        <v>0</v>
      </c>
      <c r="N319" s="39">
        <f>SUMIFS([1]!Tabla6[ENTRADA],[1]!Tabla6[CODIGO],Tabla29[[#This Row],[CODIGO]])</f>
        <v>0</v>
      </c>
      <c r="O319" s="40">
        <f>Tabla29[[#This Row],[DISP]]-Tabla29[[#This Row],[SALIDA]]+Tabla29[[#This Row],[ENTRADA]]</f>
        <v>0</v>
      </c>
      <c r="P319" s="29">
        <f>IFERROR(VLOOKUP(Tabla29[[#This Row],[CODIGO]],[1]!Tabla6[[CODIGO]:[PRECIO VENTA]],9,0),0)</f>
        <v>0</v>
      </c>
      <c r="Q319" s="29">
        <f>IFERROR(Tabla29[[#This Row],[PRECIO DETAL USD]]*0.8,0)</f>
        <v>32</v>
      </c>
      <c r="R319" s="30">
        <f>IFERROR([1]!Tabla2[[#This Row],[STOCK]]*[1]!Tabla2[[#This Row],[COSTO]],0)</f>
        <v>0</v>
      </c>
    </row>
    <row r="320" spans="1:18" ht="15" customHeight="1" x14ac:dyDescent="0.35">
      <c r="A320" s="42" t="s">
        <v>938</v>
      </c>
      <c r="B320" s="32" t="s">
        <v>929</v>
      </c>
      <c r="C320" s="32" t="s">
        <v>351</v>
      </c>
      <c r="D320" s="33">
        <v>1</v>
      </c>
      <c r="E320" s="33">
        <v>7</v>
      </c>
      <c r="F320" s="34">
        <v>4</v>
      </c>
      <c r="G320" s="35" t="s">
        <v>939</v>
      </c>
      <c r="H320" s="36" t="s">
        <v>940</v>
      </c>
      <c r="I320" s="37">
        <v>4</v>
      </c>
      <c r="J320" s="43" t="s">
        <v>43</v>
      </c>
      <c r="K320" s="38">
        <v>30</v>
      </c>
      <c r="L320" s="44"/>
      <c r="M320" s="39">
        <f>SUMIFS([1]!Tabla6[SALIDA],[1]!Tabla6[CODIGO],Tabla29[[#This Row],[CODIGO]])</f>
        <v>0</v>
      </c>
      <c r="N320" s="39">
        <f>SUMIFS([1]!Tabla6[ENTRADA],[1]!Tabla6[CODIGO],Tabla29[[#This Row],[CODIGO]])</f>
        <v>0</v>
      </c>
      <c r="O320" s="40">
        <f>Tabla29[[#This Row],[DISP]]-Tabla29[[#This Row],[SALIDA]]+Tabla29[[#This Row],[ENTRADA]]</f>
        <v>4</v>
      </c>
      <c r="P320" s="29">
        <f>IFERROR(VLOOKUP(Tabla29[[#This Row],[CODIGO]],[1]!Tabla6[[CODIGO]:[PRECIO VENTA]],9,0),0)</f>
        <v>0</v>
      </c>
      <c r="Q320" s="29">
        <f>IFERROR(Tabla29[[#This Row],[PRECIO DETAL USD]]*0.8,0)</f>
        <v>24</v>
      </c>
      <c r="R320" s="30">
        <f>IFERROR([1]!Tabla2[[#This Row],[STOCK]]*[1]!Tabla2[[#This Row],[COSTO]],0)</f>
        <v>1664</v>
      </c>
    </row>
    <row r="321" spans="1:18" ht="15" customHeight="1" x14ac:dyDescent="0.35">
      <c r="A321" s="42" t="s">
        <v>941</v>
      </c>
      <c r="B321" s="32" t="s">
        <v>929</v>
      </c>
      <c r="C321" s="32" t="s">
        <v>351</v>
      </c>
      <c r="D321" s="33">
        <v>1</v>
      </c>
      <c r="E321" s="33">
        <v>7</v>
      </c>
      <c r="F321" s="34">
        <v>5</v>
      </c>
      <c r="G321" s="35" t="s">
        <v>942</v>
      </c>
      <c r="H321" s="36" t="s">
        <v>943</v>
      </c>
      <c r="I321" s="37">
        <v>4</v>
      </c>
      <c r="J321" s="43" t="s">
        <v>43</v>
      </c>
      <c r="K321" s="38">
        <v>32</v>
      </c>
      <c r="L321" s="44"/>
      <c r="M321" s="39">
        <f>SUMIFS([1]!Tabla6[SALIDA],[1]!Tabla6[CODIGO],Tabla29[[#This Row],[CODIGO]])</f>
        <v>0</v>
      </c>
      <c r="N321" s="39">
        <f>SUMIFS([1]!Tabla6[ENTRADA],[1]!Tabla6[CODIGO],Tabla29[[#This Row],[CODIGO]])</f>
        <v>0</v>
      </c>
      <c r="O321" s="40">
        <f>Tabla29[[#This Row],[DISP]]-Tabla29[[#This Row],[SALIDA]]+Tabla29[[#This Row],[ENTRADA]]</f>
        <v>4</v>
      </c>
      <c r="P321" s="29">
        <f>IFERROR(VLOOKUP(Tabla29[[#This Row],[CODIGO]],[1]!Tabla6[[CODIGO]:[PRECIO VENTA]],9,0),0)</f>
        <v>0</v>
      </c>
      <c r="Q321" s="29">
        <f>IFERROR(Tabla29[[#This Row],[PRECIO DETAL USD]]*0.8,0)</f>
        <v>25.6</v>
      </c>
      <c r="R321" s="30">
        <f>IFERROR([1]!Tabla2[[#This Row],[STOCK]]*[1]!Tabla2[[#This Row],[COSTO]],0)</f>
        <v>0</v>
      </c>
    </row>
    <row r="322" spans="1:18" ht="15" customHeight="1" x14ac:dyDescent="0.35">
      <c r="A322" s="42" t="s">
        <v>944</v>
      </c>
      <c r="B322" s="32" t="s">
        <v>929</v>
      </c>
      <c r="C322" s="32" t="s">
        <v>351</v>
      </c>
      <c r="D322" s="33">
        <v>1</v>
      </c>
      <c r="E322" s="33">
        <v>7</v>
      </c>
      <c r="F322" s="34">
        <v>6</v>
      </c>
      <c r="G322" s="35" t="s">
        <v>945</v>
      </c>
      <c r="H322" s="36" t="s">
        <v>946</v>
      </c>
      <c r="I322" s="37">
        <v>47</v>
      </c>
      <c r="J322" s="43" t="s">
        <v>43</v>
      </c>
      <c r="K322" s="38">
        <v>580</v>
      </c>
      <c r="L322" s="44"/>
      <c r="M322" s="39">
        <f>SUMIFS([1]!Tabla6[SALIDA],[1]!Tabla6[CODIGO],Tabla29[[#This Row],[CODIGO]])</f>
        <v>3</v>
      </c>
      <c r="N322" s="39">
        <f>SUMIFS([1]!Tabla6[ENTRADA],[1]!Tabla6[CODIGO],Tabla29[[#This Row],[CODIGO]])</f>
        <v>0</v>
      </c>
      <c r="O322" s="40">
        <f>Tabla29[[#This Row],[DISP]]-Tabla29[[#This Row],[SALIDA]]+Tabla29[[#This Row],[ENTRADA]]</f>
        <v>44</v>
      </c>
      <c r="P322" s="29">
        <f>IFERROR(VLOOKUP(Tabla29[[#This Row],[CODIGO]],[1]!Tabla6[[CODIGO]:[PRECIO VENTA]],9,0),0)</f>
        <v>0</v>
      </c>
      <c r="Q322" s="29">
        <f>IFERROR(Tabla29[[#This Row],[PRECIO DETAL USD]]*0.8,0)</f>
        <v>464</v>
      </c>
      <c r="R322" s="30">
        <f>IFERROR([1]!Tabla2[[#This Row],[STOCK]]*[1]!Tabla2[[#This Row],[COSTO]],0)</f>
        <v>1049.7360000000001</v>
      </c>
    </row>
    <row r="323" spans="1:18" ht="15" customHeight="1" x14ac:dyDescent="0.4">
      <c r="A323" s="41">
        <v>33</v>
      </c>
      <c r="B323" s="32"/>
      <c r="C323" s="21"/>
      <c r="D323" s="22"/>
      <c r="E323" s="22"/>
      <c r="F323" s="22"/>
      <c r="G323" s="23" t="s">
        <v>947</v>
      </c>
      <c r="H323" s="24"/>
      <c r="I323" s="22"/>
      <c r="J323" s="25"/>
      <c r="K323" s="26" t="s">
        <v>20</v>
      </c>
      <c r="L323" s="22"/>
      <c r="M323" s="22"/>
      <c r="N323" s="22"/>
      <c r="O323" s="27" t="s">
        <v>21</v>
      </c>
      <c r="P323" s="28">
        <f>IFERROR(VLOOKUP(Tabla29[[#This Row],[CODIGO]],[1]!Tabla6[[CODIGO]:[PRECIO VENTA]],9,0),0)</f>
        <v>0</v>
      </c>
      <c r="Q323" s="29">
        <f>IFERROR(Tabla29[[#This Row],[PRECIO DETAL USD]]*0.8,0)</f>
        <v>0</v>
      </c>
      <c r="R323" s="30">
        <f>IFERROR([1]!Tabla2[[#This Row],[STOCK]]*[1]!Tabla2[[#This Row],[COSTO]],0)</f>
        <v>0</v>
      </c>
    </row>
    <row r="324" spans="1:18" ht="15" customHeight="1" x14ac:dyDescent="0.35">
      <c r="A324" s="94" t="s">
        <v>948</v>
      </c>
      <c r="B324" s="95"/>
      <c r="C324" s="95"/>
      <c r="D324" s="96"/>
      <c r="E324" s="96"/>
      <c r="F324" s="97"/>
      <c r="G324" s="98" t="s">
        <v>949</v>
      </c>
      <c r="H324" s="99" t="s">
        <v>950</v>
      </c>
      <c r="I324" s="100"/>
      <c r="J324" s="101" t="s">
        <v>43</v>
      </c>
      <c r="K324" s="102">
        <v>89</v>
      </c>
      <c r="L324" s="103"/>
      <c r="M324" s="104">
        <f>SUMIFS([1]!Tabla6[SALIDA],[1]!Tabla6[CODIGO],Tabla29[[#This Row],[CODIGO]])</f>
        <v>0</v>
      </c>
      <c r="N324" s="104">
        <f>SUMIFS([1]!Tabla6[ENTRADA],[1]!Tabla6[CODIGO],Tabla29[[#This Row],[CODIGO]])</f>
        <v>160</v>
      </c>
      <c r="O324" s="105">
        <f>Tabla29[[#This Row],[DISP]]-Tabla29[[#This Row],[SALIDA]]+Tabla29[[#This Row],[ENTRADA]]</f>
        <v>160</v>
      </c>
      <c r="P324" s="106">
        <f>IFERROR(VLOOKUP(Tabla29[[#This Row],[CODIGO]],[1]!Tabla6[[CODIGO]:[PRECIO VENTA]],9,0),0)</f>
        <v>0</v>
      </c>
      <c r="Q324" s="107">
        <f>IFERROR(Tabla29[[#This Row],[PRECIO DETAL USD]]*0.8,0)</f>
        <v>71.2</v>
      </c>
      <c r="R324" s="108">
        <f>IFERROR([1]!Tabla2[[#This Row],[STOCK]]*[1]!Tabla2[[#This Row],[COSTO]],0)</f>
        <v>2110.88</v>
      </c>
    </row>
    <row r="325" spans="1:18" ht="15" customHeight="1" x14ac:dyDescent="0.35">
      <c r="A325" s="42" t="s">
        <v>951</v>
      </c>
      <c r="B325" s="32" t="s">
        <v>952</v>
      </c>
      <c r="C325" s="32" t="s">
        <v>351</v>
      </c>
      <c r="D325" s="33">
        <v>1</v>
      </c>
      <c r="E325" s="33">
        <v>8</v>
      </c>
      <c r="F325" s="34">
        <v>1</v>
      </c>
      <c r="G325" s="35" t="s">
        <v>953</v>
      </c>
      <c r="H325" s="36" t="s">
        <v>954</v>
      </c>
      <c r="I325" s="37">
        <v>62</v>
      </c>
      <c r="J325" s="43" t="s">
        <v>43</v>
      </c>
      <c r="K325" s="38">
        <v>145.77000000000001</v>
      </c>
      <c r="L325" s="44"/>
      <c r="M325" s="39">
        <f>SUMIFS([1]!Tabla6[SALIDA],[1]!Tabla6[CODIGO],Tabla29[[#This Row],[CODIGO]])</f>
        <v>33</v>
      </c>
      <c r="N325" s="39">
        <f>SUMIFS([1]!Tabla6[ENTRADA],[1]!Tabla6[CODIGO],Tabla29[[#This Row],[CODIGO]])</f>
        <v>0</v>
      </c>
      <c r="O325" s="40">
        <f>Tabla29[[#This Row],[DISP]]-Tabla29[[#This Row],[SALIDA]]+Tabla29[[#This Row],[ENTRADA]]</f>
        <v>29</v>
      </c>
      <c r="P325" s="29">
        <f>IFERROR(VLOOKUP(Tabla29[[#This Row],[CODIGO]],[1]!Tabla6[[CODIGO]:[PRECIO VENTA]],9,0),0)</f>
        <v>0</v>
      </c>
      <c r="Q325" s="29">
        <f>IFERROR(Tabla29[[#This Row],[PRECIO DETAL USD]]*0.8,0)</f>
        <v>116.61600000000001</v>
      </c>
      <c r="R325" s="30">
        <f>IFERROR([1]!Tabla2[[#This Row],[STOCK]]*[1]!Tabla2[[#This Row],[COSTO]],0)</f>
        <v>2192.9600000000005</v>
      </c>
    </row>
    <row r="326" spans="1:18" ht="15" customHeight="1" x14ac:dyDescent="0.35">
      <c r="A326" s="94" t="s">
        <v>955</v>
      </c>
      <c r="B326" s="95"/>
      <c r="C326" s="95"/>
      <c r="D326" s="96"/>
      <c r="E326" s="96"/>
      <c r="F326" s="97"/>
      <c r="G326" s="35" t="s">
        <v>956</v>
      </c>
      <c r="H326" s="99" t="s">
        <v>957</v>
      </c>
      <c r="I326" s="100"/>
      <c r="J326" s="101" t="s">
        <v>43</v>
      </c>
      <c r="K326" s="102"/>
      <c r="L326" s="109"/>
      <c r="M326" s="110">
        <f>SUMIFS([1]!Tabla6[SALIDA],[1]!Tabla6[CODIGO],Tabla29[[#This Row],[CODIGO]])</f>
        <v>0</v>
      </c>
      <c r="N326" s="110">
        <f>SUMIFS([1]!Tabla6[ENTRADA],[1]!Tabla6[CODIGO],Tabla29[[#This Row],[CODIGO]])</f>
        <v>20</v>
      </c>
      <c r="O326" s="105">
        <f>Tabla29[[#This Row],[DISP]]-Tabla29[[#This Row],[SALIDA]]+Tabla29[[#This Row],[ENTRADA]]</f>
        <v>20</v>
      </c>
      <c r="P326" s="111">
        <f>IFERROR(VLOOKUP(Tabla29[[#This Row],[CODIGO]],[1]!Tabla6[[CODIGO]:[PRECIO VENTA]],9,0),0)</f>
        <v>0</v>
      </c>
      <c r="Q326" s="107">
        <f>IFERROR(Tabla29[[#This Row],[PRECIO DETAL USD]]*0.8,0)</f>
        <v>0</v>
      </c>
      <c r="R326" s="108">
        <f>IFERROR([1]!Tabla2[[#This Row],[STOCK]]*[1]!Tabla2[[#This Row],[COSTO]],0)</f>
        <v>0</v>
      </c>
    </row>
    <row r="327" spans="1:18" ht="15" customHeight="1" x14ac:dyDescent="0.4">
      <c r="A327" s="41">
        <v>34</v>
      </c>
      <c r="B327" s="32"/>
      <c r="C327" s="21"/>
      <c r="D327" s="22"/>
      <c r="E327" s="22"/>
      <c r="F327" s="22"/>
      <c r="G327" s="23" t="s">
        <v>958</v>
      </c>
      <c r="H327" s="24"/>
      <c r="I327" s="22"/>
      <c r="J327" s="25"/>
      <c r="K327" s="26" t="s">
        <v>20</v>
      </c>
      <c r="L327" s="22"/>
      <c r="M327" s="22"/>
      <c r="N327" s="22"/>
      <c r="O327" s="27" t="s">
        <v>21</v>
      </c>
      <c r="P327" s="28">
        <f>IFERROR(VLOOKUP(Tabla29[[#This Row],[CODIGO]],[1]!Tabla6[[CODIGO]:[PRECIO VENTA]],9,0),0)</f>
        <v>0</v>
      </c>
      <c r="Q327" s="29">
        <f>IFERROR(Tabla29[[#This Row],[PRECIO DETAL USD]]*0.8,0)</f>
        <v>0</v>
      </c>
      <c r="R327" s="30">
        <f>IFERROR([1]!Tabla2[[#This Row],[STOCK]]*[1]!Tabla2[[#This Row],[COSTO]],0)</f>
        <v>0</v>
      </c>
    </row>
    <row r="328" spans="1:18" ht="15" customHeight="1" x14ac:dyDescent="0.35">
      <c r="A328" s="42" t="s">
        <v>959</v>
      </c>
      <c r="B328" s="32" t="s">
        <v>958</v>
      </c>
      <c r="C328" s="32" t="s">
        <v>351</v>
      </c>
      <c r="D328" s="33">
        <v>1</v>
      </c>
      <c r="E328" s="33">
        <v>9</v>
      </c>
      <c r="F328" s="34">
        <v>1</v>
      </c>
      <c r="G328" s="35" t="s">
        <v>960</v>
      </c>
      <c r="H328" s="36" t="s">
        <v>961</v>
      </c>
      <c r="I328" s="37">
        <v>5</v>
      </c>
      <c r="J328" s="43" t="s">
        <v>43</v>
      </c>
      <c r="K328" s="38">
        <v>140</v>
      </c>
      <c r="L328" s="44"/>
      <c r="M328" s="39">
        <f>SUMIFS([1]!Tabla6[SALIDA],[1]!Tabla6[CODIGO],Tabla29[[#This Row],[CODIGO]])</f>
        <v>0</v>
      </c>
      <c r="N328" s="39">
        <f>SUMIFS([1]!Tabla6[ENTRADA],[1]!Tabla6[CODIGO],Tabla29[[#This Row],[CODIGO]])</f>
        <v>0</v>
      </c>
      <c r="O328" s="40">
        <f>Tabla29[[#This Row],[DISP]]-Tabla29[[#This Row],[SALIDA]]+Tabla29[[#This Row],[ENTRADA]]</f>
        <v>5</v>
      </c>
      <c r="P328" s="29">
        <f>IFERROR(VLOOKUP(Tabla29[[#This Row],[CODIGO]],[1]!Tabla6[[CODIGO]:[PRECIO VENTA]],9,0),0)</f>
        <v>0</v>
      </c>
      <c r="Q328" s="29">
        <f>IFERROR(Tabla29[[#This Row],[PRECIO DETAL USD]]*0.8,0)</f>
        <v>112</v>
      </c>
      <c r="R328" s="30">
        <f>IFERROR([1]!Tabla2[[#This Row],[STOCK]]*[1]!Tabla2[[#This Row],[COSTO]],0)</f>
        <v>1882.6632000000002</v>
      </c>
    </row>
    <row r="329" spans="1:18" ht="15" customHeight="1" x14ac:dyDescent="0.35">
      <c r="A329" s="42" t="s">
        <v>962</v>
      </c>
      <c r="B329" s="32" t="s">
        <v>958</v>
      </c>
      <c r="C329" s="32" t="s">
        <v>351</v>
      </c>
      <c r="D329" s="33">
        <v>1</v>
      </c>
      <c r="E329" s="33">
        <v>9</v>
      </c>
      <c r="F329" s="34">
        <v>2</v>
      </c>
      <c r="G329" s="35" t="s">
        <v>963</v>
      </c>
      <c r="H329" s="36" t="s">
        <v>964</v>
      </c>
      <c r="I329" s="112">
        <v>9</v>
      </c>
      <c r="J329" s="43" t="s">
        <v>43</v>
      </c>
      <c r="K329" s="38">
        <v>290</v>
      </c>
      <c r="L329" s="44"/>
      <c r="M329" s="39">
        <f>SUMIFS([1]!Tabla6[SALIDA],[1]!Tabla6[CODIGO],Tabla29[[#This Row],[CODIGO]])</f>
        <v>0</v>
      </c>
      <c r="N329" s="39">
        <f>SUMIFS([1]!Tabla6[ENTRADA],[1]!Tabla6[CODIGO],Tabla29[[#This Row],[CODIGO]])</f>
        <v>0</v>
      </c>
      <c r="O329" s="40">
        <f>Tabla29[[#This Row],[DISP]]-Tabla29[[#This Row],[SALIDA]]+Tabla29[[#This Row],[ENTRADA]]</f>
        <v>9</v>
      </c>
      <c r="P329" s="29">
        <f>IFERROR(VLOOKUP(Tabla29[[#This Row],[CODIGO]],[1]!Tabla6[[CODIGO]:[PRECIO VENTA]],9,0),0)</f>
        <v>0</v>
      </c>
      <c r="Q329" s="29">
        <f>IFERROR(Tabla29[[#This Row],[PRECIO DETAL USD]]*0.8,0)</f>
        <v>232</v>
      </c>
      <c r="R329" s="30">
        <f>IFERROR([1]!Tabla2[[#This Row],[STOCK]]*[1]!Tabla2[[#This Row],[COSTO]],0)</f>
        <v>0</v>
      </c>
    </row>
    <row r="330" spans="1:18" ht="15" customHeight="1" x14ac:dyDescent="0.35">
      <c r="A330" s="42" t="s">
        <v>965</v>
      </c>
      <c r="B330" s="32" t="s">
        <v>958</v>
      </c>
      <c r="C330" s="32" t="s">
        <v>351</v>
      </c>
      <c r="D330" s="33">
        <v>1</v>
      </c>
      <c r="E330" s="33">
        <v>9</v>
      </c>
      <c r="F330" s="34">
        <v>3</v>
      </c>
      <c r="G330" s="35" t="s">
        <v>966</v>
      </c>
      <c r="H330" s="36" t="s">
        <v>967</v>
      </c>
      <c r="I330" s="112">
        <v>12</v>
      </c>
      <c r="J330" s="43" t="s">
        <v>43</v>
      </c>
      <c r="K330" s="38">
        <v>240</v>
      </c>
      <c r="L330" s="46"/>
      <c r="M330" s="39">
        <f>SUMIFS([1]!Tabla6[SALIDA],[1]!Tabla6[CODIGO],Tabla29[[#This Row],[CODIGO]])</f>
        <v>0</v>
      </c>
      <c r="N330" s="39">
        <f>SUMIFS([1]!Tabla6[ENTRADA],[1]!Tabla6[CODIGO],Tabla29[[#This Row],[CODIGO]])</f>
        <v>0</v>
      </c>
      <c r="O330" s="40">
        <f>Tabla29[[#This Row],[DISP]]-Tabla29[[#This Row],[SALIDA]]+Tabla29[[#This Row],[ENTRADA]]</f>
        <v>12</v>
      </c>
      <c r="P330" s="29">
        <f>IFERROR(VLOOKUP(Tabla29[[#This Row],[CODIGO]],[1]!Tabla6[[CODIGO]:[PRECIO VENTA]],9,0),0)</f>
        <v>0</v>
      </c>
      <c r="Q330" s="29">
        <f>IFERROR(Tabla29[[#This Row],[PRECIO DETAL USD]]*0.8,0)</f>
        <v>192</v>
      </c>
      <c r="R330" s="30">
        <f>IFERROR([1]!Tabla2[[#This Row],[STOCK]]*[1]!Tabla2[[#This Row],[COSTO]],0)</f>
        <v>171.52</v>
      </c>
    </row>
    <row r="331" spans="1:18" ht="15" hidden="1" customHeight="1" x14ac:dyDescent="0.35">
      <c r="A331" s="42" t="s">
        <v>968</v>
      </c>
      <c r="B331" s="32" t="s">
        <v>958</v>
      </c>
      <c r="C331" s="32" t="s">
        <v>351</v>
      </c>
      <c r="D331" s="33">
        <v>1</v>
      </c>
      <c r="E331" s="33">
        <v>9</v>
      </c>
      <c r="F331" s="34">
        <v>4</v>
      </c>
      <c r="G331" s="35" t="s">
        <v>969</v>
      </c>
      <c r="H331" s="36" t="s">
        <v>970</v>
      </c>
      <c r="I331" s="37">
        <v>2</v>
      </c>
      <c r="J331" s="43" t="s">
        <v>43</v>
      </c>
      <c r="K331" s="38">
        <v>360</v>
      </c>
      <c r="L331" s="44"/>
      <c r="M331" s="39">
        <f>SUMIFS([1]!Tabla6[SALIDA],[1]!Tabla6[CODIGO],Tabla29[[#This Row],[CODIGO]])</f>
        <v>2</v>
      </c>
      <c r="N331" s="39">
        <f>SUMIFS([1]!Tabla6[ENTRADA],[1]!Tabla6[CODIGO],Tabla29[[#This Row],[CODIGO]])</f>
        <v>0</v>
      </c>
      <c r="O331" s="40">
        <f>Tabla29[[#This Row],[DISP]]-Tabla29[[#This Row],[SALIDA]]+Tabla29[[#This Row],[ENTRADA]]</f>
        <v>0</v>
      </c>
      <c r="P331" s="29">
        <f>IFERROR(VLOOKUP(Tabla29[[#This Row],[CODIGO]],[1]!Tabla6[[CODIGO]:[PRECIO VENTA]],9,0),0)</f>
        <v>0</v>
      </c>
      <c r="Q331" s="29">
        <f>IFERROR(Tabla29[[#This Row],[PRECIO DETAL USD]]*0.8,0)</f>
        <v>288</v>
      </c>
      <c r="R331" s="30">
        <f>IFERROR([1]!Tabla2[[#This Row],[STOCK]]*[1]!Tabla2[[#This Row],[COSTO]],0)</f>
        <v>17784.95232</v>
      </c>
    </row>
    <row r="332" spans="1:18" ht="15" customHeight="1" x14ac:dyDescent="0.4">
      <c r="A332" s="41">
        <v>35</v>
      </c>
      <c r="B332" s="20"/>
      <c r="C332" s="21"/>
      <c r="D332" s="22"/>
      <c r="E332" s="22"/>
      <c r="F332" s="22"/>
      <c r="G332" s="23" t="s">
        <v>971</v>
      </c>
      <c r="H332" s="24"/>
      <c r="I332" s="22"/>
      <c r="J332" s="25"/>
      <c r="K332" s="26" t="s">
        <v>20</v>
      </c>
      <c r="L332" s="22"/>
      <c r="M332" s="22"/>
      <c r="N332" s="22"/>
      <c r="O332" s="27" t="s">
        <v>21</v>
      </c>
      <c r="P332" s="113">
        <f>IFERROR(VLOOKUP([1]!Tabla2[[#This Row],[CODIGO]],[1]!Tabla6[[CODIGO]:[PRECIO VENTA]],9,0),0)</f>
        <v>25.180722891566266</v>
      </c>
      <c r="Q332" s="114">
        <f>IFERROR([1]!Tabla2[[#This Row],[PRECIO DETAL USD]]*0.8,0)</f>
        <v>20.128</v>
      </c>
      <c r="R332" s="115">
        <f>IFERROR([1]!Tabla2[[#This Row],[STOCK]]*[1]!Tabla2[[#This Row],[COSTO]],0)</f>
        <v>483.072</v>
      </c>
    </row>
    <row r="333" spans="1:18" ht="15" customHeight="1" x14ac:dyDescent="0.35">
      <c r="A333" s="43">
        <v>35</v>
      </c>
      <c r="B333" s="32" t="s">
        <v>972</v>
      </c>
      <c r="C333" s="32" t="s">
        <v>973</v>
      </c>
      <c r="D333" s="33">
        <v>4</v>
      </c>
      <c r="E333" s="33">
        <v>21</v>
      </c>
      <c r="F333" s="34">
        <v>1</v>
      </c>
      <c r="G333" s="35" t="s">
        <v>974</v>
      </c>
      <c r="H333" s="36" t="s">
        <v>975</v>
      </c>
      <c r="I333" s="37">
        <v>3800</v>
      </c>
      <c r="J333" s="37" t="s">
        <v>43</v>
      </c>
      <c r="K333" s="38">
        <v>0.35</v>
      </c>
      <c r="L333" s="44"/>
      <c r="M333" s="39">
        <f>SUMIFS([1]!Tabla6[SALIDA],[1]!Tabla6[CODIGO],[1]!Tabla2[[#This Row],[CODIGO]])</f>
        <v>4</v>
      </c>
      <c r="N333" s="39">
        <f>SUMIFS([1]!Tabla6[ENTRADA],[1]!Tabla6[CODIGO],[1]!Tabla2[[#This Row],[CODIGO]])</f>
        <v>3</v>
      </c>
      <c r="O333" s="40">
        <f>Tabla29[[#This Row],[DISP]]-Tabla29[[#This Row],[SALIDA]]+Tabla29[[#This Row],[ENTRADA]]</f>
        <v>3799</v>
      </c>
      <c r="P333" s="116">
        <f>IFERROR(VLOOKUP([1]!Tabla2[[#This Row],[CODIGO]],[1]!Tabla6[[CODIGO]:[PRECIO VENTA]],9,0),0)</f>
        <v>0</v>
      </c>
      <c r="Q333" s="114">
        <f>IFERROR([1]!Tabla2[[#This Row],[PRECIO DETAL USD]]*0.8,0)</f>
        <v>13.416</v>
      </c>
      <c r="R333" s="115">
        <f>IFERROR([1]!Tabla2[[#This Row],[STOCK]]*[1]!Tabla2[[#This Row],[COSTO]],0)</f>
        <v>885.45600000000002</v>
      </c>
    </row>
    <row r="334" spans="1:18" ht="15" customHeight="1" x14ac:dyDescent="0.4">
      <c r="A334" s="41">
        <v>36</v>
      </c>
      <c r="B334" s="20"/>
      <c r="C334" s="21"/>
      <c r="D334" s="22"/>
      <c r="E334" s="22"/>
      <c r="F334" s="22"/>
      <c r="G334" s="23" t="s">
        <v>976</v>
      </c>
      <c r="H334" s="24"/>
      <c r="I334" s="22"/>
      <c r="J334" s="25"/>
      <c r="K334" s="26" t="s">
        <v>20</v>
      </c>
      <c r="L334" s="22"/>
      <c r="M334" s="22"/>
      <c r="N334" s="22"/>
      <c r="O334" s="27" t="s">
        <v>21</v>
      </c>
      <c r="P334" s="113">
        <f>IFERROR(VLOOKUP([1]!Tabla2[[#This Row],[CODIGO]],[1]!Tabla6[[CODIGO]:[PRECIO VENTA]],9,0),0)</f>
        <v>0</v>
      </c>
      <c r="Q334" s="114">
        <f>IFERROR([1]!Tabla2[[#This Row],[PRECIO DETAL USD]]*0.8,0)</f>
        <v>11.920000000000002</v>
      </c>
      <c r="R334" s="115">
        <f>IFERROR([1]!Tabla2[[#This Row],[STOCK]]*[1]!Tabla2[[#This Row],[COSTO]],0)</f>
        <v>143.04000000000002</v>
      </c>
    </row>
    <row r="335" spans="1:18" ht="15" customHeight="1" x14ac:dyDescent="0.35">
      <c r="A335" s="43" t="s">
        <v>977</v>
      </c>
      <c r="B335" s="32" t="s">
        <v>978</v>
      </c>
      <c r="C335" s="32" t="s">
        <v>973</v>
      </c>
      <c r="D335" s="33">
        <v>4</v>
      </c>
      <c r="E335" s="33">
        <v>22</v>
      </c>
      <c r="F335" s="34">
        <v>1</v>
      </c>
      <c r="G335" s="35" t="s">
        <v>979</v>
      </c>
      <c r="H335" s="36" t="s">
        <v>980</v>
      </c>
      <c r="I335" s="37">
        <v>8830</v>
      </c>
      <c r="J335" s="37" t="s">
        <v>43</v>
      </c>
      <c r="K335" s="38">
        <v>0.3</v>
      </c>
      <c r="L335" s="44"/>
      <c r="M335" s="39">
        <f>SUMIFS([1]!Tabla6[SALIDA],[1]!Tabla6[CODIGO],[1]!Tabla2[[#This Row],[CODIGO]])</f>
        <v>23</v>
      </c>
      <c r="N335" s="39">
        <f>SUMIFS([1]!Tabla6[ENTRADA],[1]!Tabla6[CODIGO],[1]!Tabla2[[#This Row],[CODIGO]])</f>
        <v>43</v>
      </c>
      <c r="O335" s="40">
        <f>Tabla29[[#This Row],[DISP]]-Tabla29[[#This Row],[SALIDA]]+Tabla29[[#This Row],[ENTRADA]]</f>
        <v>8850</v>
      </c>
      <c r="P335" s="116">
        <f>IFERROR(VLOOKUP([1]!Tabla2[[#This Row],[CODIGO]],[1]!Tabla6[[CODIGO]:[PRECIO VENTA]],9,0),0)</f>
        <v>0</v>
      </c>
      <c r="Q335" s="114">
        <f>IFERROR([1]!Tabla2[[#This Row],[PRECIO DETAL USD]]*0.8,0)</f>
        <v>17.28</v>
      </c>
      <c r="R335" s="115">
        <f>IFERROR([1]!Tabla2[[#This Row],[STOCK]]*[1]!Tabla2[[#This Row],[COSTO]],0)</f>
        <v>345.6</v>
      </c>
    </row>
    <row r="336" spans="1:18" ht="15" customHeight="1" x14ac:dyDescent="0.35">
      <c r="A336" s="43" t="s">
        <v>981</v>
      </c>
      <c r="B336" s="32" t="s">
        <v>978</v>
      </c>
      <c r="C336" s="32" t="s">
        <v>973</v>
      </c>
      <c r="D336" s="33">
        <v>4</v>
      </c>
      <c r="E336" s="33">
        <v>22</v>
      </c>
      <c r="F336" s="34">
        <v>2</v>
      </c>
      <c r="G336" s="35" t="s">
        <v>982</v>
      </c>
      <c r="H336" s="36" t="s">
        <v>983</v>
      </c>
      <c r="I336" s="37">
        <v>3961</v>
      </c>
      <c r="J336" s="37" t="s">
        <v>43</v>
      </c>
      <c r="K336" s="38">
        <v>0.32</v>
      </c>
      <c r="L336" s="44"/>
      <c r="M336" s="39">
        <f>SUMIFS([1]!Tabla6[SALIDA],[1]!Tabla6[CODIGO],[1]!Tabla2[[#This Row],[CODIGO]])</f>
        <v>34</v>
      </c>
      <c r="N336" s="39">
        <f>SUMIFS([1]!Tabla6[ENTRADA],[1]!Tabla6[CODIGO],[1]!Tabla2[[#This Row],[CODIGO]])</f>
        <v>71</v>
      </c>
      <c r="O336" s="40">
        <f>Tabla29[[#This Row],[DISP]]-Tabla29[[#This Row],[SALIDA]]+Tabla29[[#This Row],[ENTRADA]]</f>
        <v>3998</v>
      </c>
      <c r="P336" s="116">
        <f>IFERROR(VLOOKUP([1]!Tabla2[[#This Row],[CODIGO]],[1]!Tabla6[[CODIGO]:[PRECIO VENTA]],9,0),0)</f>
        <v>0</v>
      </c>
      <c r="Q336" s="114">
        <f>IFERROR([1]!Tabla2[[#This Row],[PRECIO DETAL USD]]*0.8,0)</f>
        <v>18.400000000000002</v>
      </c>
      <c r="R336" s="115">
        <f>IFERROR([1]!Tabla2[[#This Row],[STOCK]]*[1]!Tabla2[[#This Row],[COSTO]],0)</f>
        <v>920.00000000000011</v>
      </c>
    </row>
    <row r="337" spans="1:18" ht="15" customHeight="1" x14ac:dyDescent="0.35">
      <c r="A337" s="43" t="s">
        <v>984</v>
      </c>
      <c r="B337" s="32" t="s">
        <v>978</v>
      </c>
      <c r="C337" s="32" t="s">
        <v>973</v>
      </c>
      <c r="D337" s="33">
        <v>4</v>
      </c>
      <c r="E337" s="33">
        <v>24</v>
      </c>
      <c r="F337" s="34">
        <v>1</v>
      </c>
      <c r="G337" s="35" t="s">
        <v>985</v>
      </c>
      <c r="H337" s="36" t="s">
        <v>986</v>
      </c>
      <c r="I337" s="37">
        <v>987</v>
      </c>
      <c r="J337" s="37" t="s">
        <v>43</v>
      </c>
      <c r="K337" s="38">
        <v>0.38</v>
      </c>
      <c r="L337" s="44"/>
      <c r="M337" s="39">
        <f>SUMIFS([1]!Tabla6[SALIDA],[1]!Tabla6[CODIGO],[1]!Tabla2[[#This Row],[CODIGO]])</f>
        <v>183</v>
      </c>
      <c r="N337" s="39">
        <f>SUMIFS([1]!Tabla6[ENTRADA],[1]!Tabla6[CODIGO],[1]!Tabla2[[#This Row],[CODIGO]])</f>
        <v>298</v>
      </c>
      <c r="O337" s="40">
        <f>Tabla29[[#This Row],[DISP]]-Tabla29[[#This Row],[SALIDA]]+Tabla29[[#This Row],[ENTRADA]]</f>
        <v>1102</v>
      </c>
      <c r="P337" s="116">
        <f>IFERROR(VLOOKUP([1]!Tabla2[[#This Row],[CODIGO]],[1]!Tabla6[[CODIGO]:[PRECIO VENTA]],9,0),0)</f>
        <v>26.467532467532465</v>
      </c>
      <c r="Q337" s="114">
        <f>IFERROR([1]!Tabla2[[#This Row],[PRECIO DETAL USD]]*0.8,0)</f>
        <v>20.056000000000001</v>
      </c>
      <c r="R337" s="115">
        <f>IFERROR([1]!Tabla2[[#This Row],[STOCK]]*[1]!Tabla2[[#This Row],[COSTO]],0)</f>
        <v>2306.44</v>
      </c>
    </row>
    <row r="338" spans="1:18" ht="15" customHeight="1" x14ac:dyDescent="0.35">
      <c r="A338" s="43" t="s">
        <v>987</v>
      </c>
      <c r="B338" s="32" t="s">
        <v>978</v>
      </c>
      <c r="C338" s="32" t="s">
        <v>973</v>
      </c>
      <c r="D338" s="33">
        <v>4</v>
      </c>
      <c r="E338" s="33">
        <v>24</v>
      </c>
      <c r="F338" s="34">
        <v>2</v>
      </c>
      <c r="G338" s="35" t="s">
        <v>988</v>
      </c>
      <c r="H338" s="36" t="s">
        <v>989</v>
      </c>
      <c r="I338" s="37">
        <v>799</v>
      </c>
      <c r="J338" s="37" t="s">
        <v>43</v>
      </c>
      <c r="K338" s="38">
        <v>0.98</v>
      </c>
      <c r="L338" s="44"/>
      <c r="M338" s="39">
        <f>SUMIFS([1]!Tabla6[SALIDA],[1]!Tabla6[CODIGO],[1]!Tabla2[[#This Row],[CODIGO]])</f>
        <v>0</v>
      </c>
      <c r="N338" s="39">
        <f>SUMIFS([1]!Tabla6[ENTRADA],[1]!Tabla6[CODIGO],[1]!Tabla2[[#This Row],[CODIGO]])</f>
        <v>0</v>
      </c>
      <c r="O338" s="40">
        <f>Tabla29[[#This Row],[DISP]]-Tabla29[[#This Row],[SALIDA]]+Tabla29[[#This Row],[ENTRADA]]</f>
        <v>799</v>
      </c>
      <c r="P338" s="116">
        <f>IFERROR(VLOOKUP([1]!Tabla2[[#This Row],[CODIGO]],[1]!Tabla6[[CODIGO]:[PRECIO VENTA]],9,0),0)</f>
        <v>0</v>
      </c>
      <c r="Q338" s="114">
        <f>IFERROR([1]!Tabla2[[#This Row],[PRECIO DETAL USD]]*0.8,0)</f>
        <v>0</v>
      </c>
      <c r="R338" s="115">
        <f>IFERROR([1]!Tabla2[[#This Row],[STOCK]]*[1]!Tabla2[[#This Row],[COSTO]],0)</f>
        <v>0</v>
      </c>
    </row>
    <row r="339" spans="1:18" ht="15" customHeight="1" x14ac:dyDescent="0.35">
      <c r="A339" s="43" t="s">
        <v>990</v>
      </c>
      <c r="B339" s="32" t="s">
        <v>978</v>
      </c>
      <c r="C339" s="32" t="s">
        <v>973</v>
      </c>
      <c r="D339" s="33">
        <v>4</v>
      </c>
      <c r="E339" s="33">
        <v>25</v>
      </c>
      <c r="F339" s="34">
        <v>1</v>
      </c>
      <c r="G339" s="35" t="s">
        <v>991</v>
      </c>
      <c r="H339" s="36" t="s">
        <v>992</v>
      </c>
      <c r="I339" s="37">
        <v>200</v>
      </c>
      <c r="J339" s="37" t="s">
        <v>43</v>
      </c>
      <c r="K339" s="38">
        <v>1.45</v>
      </c>
      <c r="L339" s="44"/>
      <c r="M339" s="39">
        <f>SUMIFS([1]!Tabla6[SALIDA],[1]!Tabla6[CODIGO],[1]!Tabla2[[#This Row],[CODIGO]])</f>
        <v>16.66</v>
      </c>
      <c r="N339" s="39">
        <f>SUMIFS([1]!Tabla6[ENTRADA],[1]!Tabla6[CODIGO],[1]!Tabla2[[#This Row],[CODIGO]])</f>
        <v>0</v>
      </c>
      <c r="O339" s="40">
        <f>Tabla29[[#This Row],[DISP]]-Tabla29[[#This Row],[SALIDA]]+Tabla29[[#This Row],[ENTRADA]]</f>
        <v>183.34</v>
      </c>
      <c r="P339" s="116">
        <f>IFERROR(VLOOKUP([1]!Tabla2[[#This Row],[CODIGO]],[1]!Tabla6[[CODIGO]:[PRECIO VENTA]],9,0),0)</f>
        <v>0</v>
      </c>
      <c r="Q339" s="114">
        <v>1</v>
      </c>
      <c r="R339" s="115">
        <f>IFERROR([1]!Tabla2[[#This Row],[STOCK]]*[1]!Tabla2[[#This Row],[COSTO]],0)</f>
        <v>21113.664000000004</v>
      </c>
    </row>
    <row r="340" spans="1:18" ht="15" customHeight="1" x14ac:dyDescent="0.35">
      <c r="A340" s="43" t="s">
        <v>993</v>
      </c>
      <c r="B340" s="32" t="s">
        <v>978</v>
      </c>
      <c r="C340" s="32" t="s">
        <v>973</v>
      </c>
      <c r="D340" s="33">
        <v>4</v>
      </c>
      <c r="E340" s="33">
        <v>25</v>
      </c>
      <c r="F340" s="34">
        <v>2</v>
      </c>
      <c r="G340" s="35" t="s">
        <v>994</v>
      </c>
      <c r="H340" s="36" t="s">
        <v>995</v>
      </c>
      <c r="I340" s="37">
        <v>50</v>
      </c>
      <c r="J340" s="37" t="s">
        <v>43</v>
      </c>
      <c r="K340" s="38">
        <v>3.5</v>
      </c>
      <c r="L340" s="44"/>
      <c r="M340" s="39">
        <f>SUMIFS([1]!Tabla6[SALIDA],[1]!Tabla6[CODIGO],[1]!Tabla2[[#This Row],[CODIGO]])</f>
        <v>0</v>
      </c>
      <c r="N340" s="39">
        <f>SUMIFS([1]!Tabla6[ENTRADA],[1]!Tabla6[CODIGO],[1]!Tabla2[[#This Row],[CODIGO]])</f>
        <v>0</v>
      </c>
      <c r="O340" s="40">
        <f>Tabla29[[#This Row],[DISP]]-Tabla29[[#This Row],[SALIDA]]+Tabla29[[#This Row],[ENTRADA]]</f>
        <v>50</v>
      </c>
      <c r="P340" s="116">
        <f>IFERROR(VLOOKUP([1]!Tabla2[[#This Row],[CODIGO]],[1]!Tabla6[[CODIGO]:[PRECIO VENTA]],9,0),0)</f>
        <v>0</v>
      </c>
      <c r="Q340" s="114">
        <f>IFERROR([1]!Tabla2[[#This Row],[PRECIO DETAL USD]]*0.8,0)</f>
        <v>6.4</v>
      </c>
      <c r="R340" s="115">
        <f>IFERROR([1]!Tabla2[[#This Row],[STOCK]]*[1]!Tabla2[[#This Row],[COSTO]],0)</f>
        <v>5350.4000000000005</v>
      </c>
    </row>
    <row r="341" spans="1:18" ht="15" customHeight="1" x14ac:dyDescent="0.4">
      <c r="A341" s="41">
        <v>37</v>
      </c>
      <c r="B341" s="20"/>
      <c r="C341" s="21"/>
      <c r="D341" s="22"/>
      <c r="E341" s="22"/>
      <c r="F341" s="22"/>
      <c r="G341" s="23" t="s">
        <v>996</v>
      </c>
      <c r="H341" s="24"/>
      <c r="I341" s="22"/>
      <c r="J341" s="25"/>
      <c r="K341" s="26" t="s">
        <v>20</v>
      </c>
      <c r="L341" s="22"/>
      <c r="M341" s="22"/>
      <c r="N341" s="22"/>
      <c r="O341" s="27" t="s">
        <v>21</v>
      </c>
      <c r="P341" s="113">
        <f>IFERROR(VLOOKUP([1]!Tabla2[[#This Row],[CODIGO]],[1]!Tabla6[[CODIGO]:[PRECIO VENTA]],9,0),0)</f>
        <v>0</v>
      </c>
      <c r="Q341" s="114">
        <f>IFERROR([1]!Tabla2[[#This Row],[PRECIO DETAL USD]]*0.8,0)</f>
        <v>6.96</v>
      </c>
      <c r="R341" s="115">
        <f>IFERROR([1]!Tabla2[[#This Row],[STOCK]]*[1]!Tabla2[[#This Row],[COSTO]],0)</f>
        <v>229.68</v>
      </c>
    </row>
    <row r="342" spans="1:18" ht="15" customHeight="1" x14ac:dyDescent="0.35">
      <c r="A342" s="43" t="s">
        <v>997</v>
      </c>
      <c r="B342" s="32" t="s">
        <v>978</v>
      </c>
      <c r="C342" s="32" t="s">
        <v>973</v>
      </c>
      <c r="D342" s="33">
        <v>4</v>
      </c>
      <c r="E342" s="33">
        <v>25</v>
      </c>
      <c r="F342" s="34">
        <v>3</v>
      </c>
      <c r="G342" s="35" t="s">
        <v>998</v>
      </c>
      <c r="H342" s="36" t="s">
        <v>999</v>
      </c>
      <c r="I342" s="37">
        <v>246</v>
      </c>
      <c r="J342" s="37" t="s">
        <v>43</v>
      </c>
      <c r="K342" s="38">
        <v>0.5</v>
      </c>
      <c r="L342" s="44"/>
      <c r="M342" s="39">
        <f>SUMIFS([1]!Tabla6[SALIDA],[1]!Tabla6[CODIGO],[1]!Tabla2[[#This Row],[CODIGO]])</f>
        <v>43</v>
      </c>
      <c r="N342" s="39">
        <f>SUMIFS([1]!Tabla6[ENTRADA],[1]!Tabla6[CODIGO],[1]!Tabla2[[#This Row],[CODIGO]])</f>
        <v>0</v>
      </c>
      <c r="O342" s="40">
        <f>Tabla29[[#This Row],[DISP]]-Tabla29[[#This Row],[SALIDA]]+Tabla29[[#This Row],[ENTRADA]]</f>
        <v>203</v>
      </c>
      <c r="P342" s="116">
        <f>IFERROR(VLOOKUP([1]!Tabla2[[#This Row],[CODIGO]],[1]!Tabla6[[CODIGO]:[PRECIO VENTA]],9,0),0)</f>
        <v>0</v>
      </c>
      <c r="Q342" s="114">
        <f>IFERROR([1]!Tabla2[[#This Row],[PRECIO DETAL USD]]*0.8,0)</f>
        <v>13.600000000000001</v>
      </c>
      <c r="R342" s="115">
        <f>IFERROR([1]!Tabla2[[#This Row],[STOCK]]*[1]!Tabla2[[#This Row],[COSTO]],0)</f>
        <v>36284.800000000003</v>
      </c>
    </row>
    <row r="343" spans="1:18" ht="15" customHeight="1" x14ac:dyDescent="0.35">
      <c r="A343" s="43" t="s">
        <v>1000</v>
      </c>
      <c r="B343" s="32" t="s">
        <v>978</v>
      </c>
      <c r="C343" s="32" t="s">
        <v>973</v>
      </c>
      <c r="D343" s="33">
        <v>4</v>
      </c>
      <c r="E343" s="33">
        <v>27</v>
      </c>
      <c r="F343" s="34">
        <v>1</v>
      </c>
      <c r="G343" s="35" t="s">
        <v>1001</v>
      </c>
      <c r="H343" s="36" t="s">
        <v>1002</v>
      </c>
      <c r="I343" s="37">
        <v>685</v>
      </c>
      <c r="J343" s="37" t="s">
        <v>43</v>
      </c>
      <c r="K343" s="38">
        <v>3.9</v>
      </c>
      <c r="L343" s="44"/>
      <c r="M343" s="39">
        <f>SUMIFS([1]!Tabla6[SALIDA],[1]!Tabla6[CODIGO],[1]!Tabla2[[#This Row],[CODIGO]])</f>
        <v>39</v>
      </c>
      <c r="N343" s="39">
        <f>SUMIFS([1]!Tabla6[ENTRADA],[1]!Tabla6[CODIGO],[1]!Tabla2[[#This Row],[CODIGO]])</f>
        <v>0</v>
      </c>
      <c r="O343" s="40">
        <f>Tabla29[[#This Row],[DISP]]-Tabla29[[#This Row],[SALIDA]]+Tabla29[[#This Row],[ENTRADA]]</f>
        <v>646</v>
      </c>
      <c r="P343" s="116">
        <f>IFERROR(VLOOKUP([1]!Tabla2[[#This Row],[CODIGO]],[1]!Tabla6[[CODIGO]:[PRECIO VENTA]],9,0),0)</f>
        <v>0</v>
      </c>
      <c r="Q343" s="114">
        <f>IFERROR([1]!Tabla2[[#This Row],[PRECIO DETAL USD]]*0.8,0)</f>
        <v>20.8</v>
      </c>
      <c r="R343" s="115">
        <f>IFERROR([1]!Tabla2[[#This Row],[STOCK]]*[1]!Tabla2[[#This Row],[COSTO]],0)</f>
        <v>2454.4</v>
      </c>
    </row>
    <row r="344" spans="1:18" ht="15" customHeight="1" x14ac:dyDescent="0.35">
      <c r="A344" s="43" t="s">
        <v>1003</v>
      </c>
      <c r="B344" s="32" t="s">
        <v>978</v>
      </c>
      <c r="C344" s="32" t="s">
        <v>973</v>
      </c>
      <c r="D344" s="33">
        <v>4</v>
      </c>
      <c r="E344" s="33">
        <v>27</v>
      </c>
      <c r="F344" s="34">
        <v>2</v>
      </c>
      <c r="G344" s="35" t="s">
        <v>1004</v>
      </c>
      <c r="H344" s="36" t="s">
        <v>1005</v>
      </c>
      <c r="I344" s="37">
        <v>1625</v>
      </c>
      <c r="J344" s="37" t="s">
        <v>43</v>
      </c>
      <c r="K344" s="38">
        <v>1.35</v>
      </c>
      <c r="L344" s="44"/>
      <c r="M344" s="39">
        <f>SUMIFS([1]!Tabla6[SALIDA],[1]!Tabla6[CODIGO],[1]!Tabla2[[#This Row],[CODIGO]])</f>
        <v>0</v>
      </c>
      <c r="N344" s="39">
        <f>SUMIFS([1]!Tabla6[ENTRADA],[1]!Tabla6[CODIGO],[1]!Tabla2[[#This Row],[CODIGO]])</f>
        <v>0</v>
      </c>
      <c r="O344" s="40">
        <f>Tabla29[[#This Row],[DISP]]-Tabla29[[#This Row],[SALIDA]]+Tabla29[[#This Row],[ENTRADA]]</f>
        <v>1625</v>
      </c>
      <c r="P344" s="116">
        <f>IFERROR(VLOOKUP([1]!Tabla2[[#This Row],[CODIGO]],[1]!Tabla6[[CODIGO]:[PRECIO VENTA]],9,0),0)</f>
        <v>0</v>
      </c>
      <c r="Q344" s="114">
        <f>IFERROR([1]!Tabla2[[#This Row],[PRECIO DETAL USD]]*0.8,0)</f>
        <v>47.2</v>
      </c>
      <c r="R344" s="115">
        <f>IFERROR([1]!Tabla2[[#This Row],[STOCK]]*[1]!Tabla2[[#This Row],[COSTO]],0)</f>
        <v>141.60000000000002</v>
      </c>
    </row>
    <row r="345" spans="1:18" ht="15" customHeight="1" x14ac:dyDescent="0.35">
      <c r="A345" s="43" t="s">
        <v>1006</v>
      </c>
      <c r="B345" s="32" t="s">
        <v>972</v>
      </c>
      <c r="C345" s="32" t="s">
        <v>973</v>
      </c>
      <c r="D345" s="33">
        <v>4</v>
      </c>
      <c r="E345" s="33">
        <v>29</v>
      </c>
      <c r="F345" s="34">
        <v>1</v>
      </c>
      <c r="G345" s="35" t="s">
        <v>1007</v>
      </c>
      <c r="H345" s="36" t="s">
        <v>1008</v>
      </c>
      <c r="I345" s="37">
        <v>85</v>
      </c>
      <c r="J345" s="37" t="s">
        <v>43</v>
      </c>
      <c r="K345" s="38">
        <v>1.4</v>
      </c>
      <c r="L345" s="44"/>
      <c r="M345" s="39">
        <f>SUMIFS([1]!Tabla6[SALIDA],[1]!Tabla6[CODIGO],[1]!Tabla2[[#This Row],[CODIGO]])</f>
        <v>0</v>
      </c>
      <c r="N345" s="39">
        <f>SUMIFS([1]!Tabla6[ENTRADA],[1]!Tabla6[CODIGO],[1]!Tabla2[[#This Row],[CODIGO]])</f>
        <v>0</v>
      </c>
      <c r="O345" s="40">
        <f>Tabla29[[#This Row],[DISP]]-Tabla29[[#This Row],[SALIDA]]+Tabla29[[#This Row],[ENTRADA]]</f>
        <v>85</v>
      </c>
      <c r="P345" s="116">
        <f>IFERROR(VLOOKUP([1]!Tabla2[[#This Row],[CODIGO]],[1]!Tabla6[[CODIGO]:[PRECIO VENTA]],9,0),0)</f>
        <v>0</v>
      </c>
      <c r="Q345" s="114">
        <f>IFERROR([1]!Tabla2[[#This Row],[PRECIO DETAL USD]]*0.8,0)</f>
        <v>52</v>
      </c>
      <c r="R345" s="115">
        <f>IFERROR([1]!Tabla2[[#This Row],[STOCK]]*[1]!Tabla2[[#This Row],[COSTO]],0)</f>
        <v>156</v>
      </c>
    </row>
    <row r="346" spans="1:18" ht="15" customHeight="1" x14ac:dyDescent="0.35">
      <c r="A346" s="43" t="s">
        <v>1009</v>
      </c>
      <c r="B346" s="32" t="s">
        <v>1010</v>
      </c>
      <c r="C346" s="32" t="s">
        <v>973</v>
      </c>
      <c r="D346" s="33">
        <v>6</v>
      </c>
      <c r="E346" s="33">
        <v>21</v>
      </c>
      <c r="F346" s="34">
        <v>1</v>
      </c>
      <c r="G346" s="35" t="s">
        <v>1011</v>
      </c>
      <c r="H346" s="36" t="s">
        <v>1012</v>
      </c>
      <c r="I346" s="37">
        <v>70</v>
      </c>
      <c r="J346" s="37" t="s">
        <v>43</v>
      </c>
      <c r="K346" s="38">
        <v>1.9</v>
      </c>
      <c r="L346" s="38">
        <v>1.7</v>
      </c>
      <c r="M346" s="39">
        <f>SUMIFS([1]!Tabla6[SALIDA],[1]!Tabla6[CODIGO],[1]!Tabla2[[#This Row],[CODIGO]])</f>
        <v>0</v>
      </c>
      <c r="N346" s="39">
        <f>SUMIFS([1]!Tabla6[ENTRADA],[1]!Tabla6[CODIGO],[1]!Tabla2[[#This Row],[CODIGO]])</f>
        <v>0</v>
      </c>
      <c r="O346" s="40">
        <f>Tabla29[[#This Row],[DISP]]-Tabla29[[#This Row],[SALIDA]]+Tabla29[[#This Row],[ENTRADA]]</f>
        <v>70</v>
      </c>
      <c r="P346" s="116">
        <f>IFERROR(VLOOKUP([1]!Tabla2[[#This Row],[CODIGO]],[1]!Tabla6[[CODIGO]:[PRECIO VENTA]],9,0),0)</f>
        <v>0</v>
      </c>
      <c r="Q346" s="114">
        <f>IFERROR([1]!Tabla2[[#This Row],[PRECIO DETAL USD]]*0.8,0)</f>
        <v>63.2</v>
      </c>
      <c r="R346" s="115">
        <f>IFERROR([1]!Tabla2[[#This Row],[STOCK]]*[1]!Tabla2[[#This Row],[COSTO]],0)</f>
        <v>379.20000000000005</v>
      </c>
    </row>
    <row r="347" spans="1:18" ht="15" customHeight="1" x14ac:dyDescent="0.35">
      <c r="A347" s="43" t="s">
        <v>1013</v>
      </c>
      <c r="B347" s="32" t="s">
        <v>1010</v>
      </c>
      <c r="C347" s="32" t="s">
        <v>973</v>
      </c>
      <c r="D347" s="33">
        <v>6</v>
      </c>
      <c r="E347" s="33">
        <v>21</v>
      </c>
      <c r="F347" s="34">
        <v>2</v>
      </c>
      <c r="G347" s="35" t="s">
        <v>1014</v>
      </c>
      <c r="H347" s="36" t="s">
        <v>1015</v>
      </c>
      <c r="I347" s="37">
        <f>85-10</f>
        <v>75</v>
      </c>
      <c r="J347" s="37" t="s">
        <v>43</v>
      </c>
      <c r="K347" s="38">
        <v>1.9</v>
      </c>
      <c r="L347" s="38">
        <v>1.7</v>
      </c>
      <c r="M347" s="39">
        <f>SUMIFS([1]!Tabla6[SALIDA],[1]!Tabla6[CODIGO],[1]!Tabla2[[#This Row],[CODIGO]])</f>
        <v>0</v>
      </c>
      <c r="N347" s="39">
        <f>SUMIFS([1]!Tabla6[ENTRADA],[1]!Tabla6[CODIGO],[1]!Tabla2[[#This Row],[CODIGO]])</f>
        <v>0</v>
      </c>
      <c r="O347" s="40">
        <f>Tabla29[[#This Row],[DISP]]-Tabla29[[#This Row],[SALIDA]]+Tabla29[[#This Row],[ENTRADA]]</f>
        <v>75</v>
      </c>
      <c r="P347" s="116">
        <f>IFERROR(VLOOKUP([1]!Tabla2[[#This Row],[CODIGO]],[1]!Tabla6[[CODIGO]:[PRECIO VENTA]],9,0),0)</f>
        <v>0</v>
      </c>
      <c r="Q347" s="114">
        <f>IFERROR([1]!Tabla2[[#This Row],[PRECIO DETAL USD]]*0.8,0)</f>
        <v>63.2</v>
      </c>
      <c r="R347" s="115">
        <f>IFERROR([1]!Tabla2[[#This Row],[STOCK]]*[1]!Tabla2[[#This Row],[COSTO]],0)</f>
        <v>505.6</v>
      </c>
    </row>
    <row r="348" spans="1:18" ht="15" customHeight="1" x14ac:dyDescent="0.35">
      <c r="A348" s="43" t="s">
        <v>1016</v>
      </c>
      <c r="B348" s="32" t="s">
        <v>1010</v>
      </c>
      <c r="C348" s="32" t="s">
        <v>973</v>
      </c>
      <c r="D348" s="33">
        <v>6</v>
      </c>
      <c r="E348" s="33">
        <v>21</v>
      </c>
      <c r="F348" s="34">
        <v>3</v>
      </c>
      <c r="G348" s="35" t="s">
        <v>1017</v>
      </c>
      <c r="H348" s="36" t="s">
        <v>1018</v>
      </c>
      <c r="I348" s="37">
        <v>177</v>
      </c>
      <c r="J348" s="37" t="s">
        <v>43</v>
      </c>
      <c r="K348" s="38">
        <v>2.1</v>
      </c>
      <c r="L348" s="38">
        <v>1.85</v>
      </c>
      <c r="M348" s="39">
        <f>SUMIFS([1]!Tabla6[SALIDA],[1]!Tabla6[CODIGO],[1]!Tabla2[[#This Row],[CODIGO]])</f>
        <v>0</v>
      </c>
      <c r="N348" s="39">
        <f>SUMIFS([1]!Tabla6[ENTRADA],[1]!Tabla6[CODIGO],[1]!Tabla2[[#This Row],[CODIGO]])</f>
        <v>0</v>
      </c>
      <c r="O348" s="40">
        <f>Tabla29[[#This Row],[DISP]]-Tabla29[[#This Row],[SALIDA]]+Tabla29[[#This Row],[ENTRADA]]</f>
        <v>177</v>
      </c>
      <c r="P348" s="116">
        <f>IFERROR(VLOOKUP([1]!Tabla2[[#This Row],[CODIGO]],[1]!Tabla6[[CODIGO]:[PRECIO VENTA]],9,0),0)</f>
        <v>0</v>
      </c>
      <c r="Q348" s="114">
        <f>IFERROR([1]!Tabla2[[#This Row],[PRECIO DETAL USD]]*0.8,0)</f>
        <v>0</v>
      </c>
      <c r="R348" s="115">
        <f>IFERROR([1]!Tabla2[[#This Row],[STOCK]]*[1]!Tabla2[[#This Row],[COSTO]],0)</f>
        <v>0</v>
      </c>
    </row>
    <row r="349" spans="1:18" ht="15" customHeight="1" x14ac:dyDescent="0.35">
      <c r="A349" s="43" t="s">
        <v>1019</v>
      </c>
      <c r="B349" s="32" t="s">
        <v>1010</v>
      </c>
      <c r="C349" s="32" t="s">
        <v>973</v>
      </c>
      <c r="D349" s="33">
        <v>6</v>
      </c>
      <c r="E349" s="33">
        <v>22</v>
      </c>
      <c r="F349" s="34">
        <v>1</v>
      </c>
      <c r="G349" s="35" t="s">
        <v>1020</v>
      </c>
      <c r="H349" s="36" t="s">
        <v>1021</v>
      </c>
      <c r="I349" s="37">
        <v>345</v>
      </c>
      <c r="J349" s="37" t="s">
        <v>43</v>
      </c>
      <c r="K349" s="38">
        <v>2.1</v>
      </c>
      <c r="L349" s="38">
        <v>1.85</v>
      </c>
      <c r="M349" s="39">
        <f>SUMIFS([1]!Tabla6[SALIDA],[1]!Tabla6[CODIGO],[1]!Tabla2[[#This Row],[CODIGO]])</f>
        <v>0</v>
      </c>
      <c r="N349" s="39">
        <f>SUMIFS([1]!Tabla6[ENTRADA],[1]!Tabla6[CODIGO],[1]!Tabla2[[#This Row],[CODIGO]])</f>
        <v>0</v>
      </c>
      <c r="O349" s="40">
        <f>Tabla29[[#This Row],[DISP]]-Tabla29[[#This Row],[SALIDA]]+Tabla29[[#This Row],[ENTRADA]]</f>
        <v>345</v>
      </c>
      <c r="P349" s="116">
        <f>IFERROR(VLOOKUP([1]!Tabla2[[#This Row],[CODIGO]],[1]!Tabla6[[CODIGO]:[PRECIO VENTA]],9,0),0)</f>
        <v>0</v>
      </c>
      <c r="Q349" s="114">
        <f>IFERROR([1]!Tabla2[[#This Row],[PRECIO DETAL USD]]*0.8,0)</f>
        <v>840</v>
      </c>
      <c r="R349" s="115">
        <f>IFERROR([1]!Tabla2[[#This Row],[STOCK]]*[1]!Tabla2[[#This Row],[COSTO]],0)</f>
        <v>0</v>
      </c>
    </row>
    <row r="350" spans="1:18" ht="15" customHeight="1" x14ac:dyDescent="0.35">
      <c r="A350" s="43" t="s">
        <v>1022</v>
      </c>
      <c r="B350" s="32" t="s">
        <v>1010</v>
      </c>
      <c r="C350" s="32" t="s">
        <v>973</v>
      </c>
      <c r="D350" s="33">
        <v>6</v>
      </c>
      <c r="E350" s="33">
        <v>22</v>
      </c>
      <c r="F350" s="34">
        <v>2</v>
      </c>
      <c r="G350" s="35" t="s">
        <v>1023</v>
      </c>
      <c r="H350" s="36" t="s">
        <v>1024</v>
      </c>
      <c r="I350" s="37">
        <v>6636</v>
      </c>
      <c r="J350" s="37" t="s">
        <v>43</v>
      </c>
      <c r="K350" s="38">
        <v>4.5</v>
      </c>
      <c r="L350" s="38">
        <v>3.1</v>
      </c>
      <c r="M350" s="39">
        <f>SUMIFS([1]!Tabla6[SALIDA],[1]!Tabla6[CODIGO],[1]!Tabla2[[#This Row],[CODIGO]])</f>
        <v>0</v>
      </c>
      <c r="N350" s="39">
        <f>SUMIFS([1]!Tabla6[ENTRADA],[1]!Tabla6[CODIGO],[1]!Tabla2[[#This Row],[CODIGO]])</f>
        <v>0</v>
      </c>
      <c r="O350" s="40">
        <f>Tabla29[[#This Row],[DISP]]-Tabla29[[#This Row],[SALIDA]]+Tabla29[[#This Row],[ENTRADA]]</f>
        <v>6636</v>
      </c>
      <c r="P350" s="116">
        <f>IFERROR(VLOOKUP([1]!Tabla2[[#This Row],[CODIGO]],[1]!Tabla6[[CODIGO]:[PRECIO VENTA]],9,0),0)</f>
        <v>0</v>
      </c>
      <c r="Q350" s="114">
        <f>IFERROR([1]!Tabla2[[#This Row],[PRECIO DETAL USD]]*0.8,0)</f>
        <v>0</v>
      </c>
      <c r="R350" s="115">
        <f>IFERROR([1]!Tabla2[[#This Row],[STOCK]]*[1]!Tabla2[[#This Row],[COSTO]],0)</f>
        <v>0</v>
      </c>
    </row>
    <row r="351" spans="1:18" x14ac:dyDescent="0.35">
      <c r="A351" s="43" t="s">
        <v>1025</v>
      </c>
      <c r="B351" s="32" t="s">
        <v>1010</v>
      </c>
      <c r="C351" s="32" t="s">
        <v>973</v>
      </c>
      <c r="D351" s="33">
        <v>6</v>
      </c>
      <c r="E351" s="33">
        <v>22</v>
      </c>
      <c r="F351" s="34">
        <v>3</v>
      </c>
      <c r="G351" s="35" t="s">
        <v>1026</v>
      </c>
      <c r="H351" s="36" t="s">
        <v>1027</v>
      </c>
      <c r="I351" s="37">
        <v>2717</v>
      </c>
      <c r="J351" s="37" t="s">
        <v>43</v>
      </c>
      <c r="K351" s="38">
        <v>4.5</v>
      </c>
      <c r="L351" s="38">
        <v>3.4</v>
      </c>
      <c r="M351" s="39">
        <f>SUMIFS([1]!Tabla6[SALIDA],[1]!Tabla6[CODIGO],[1]!Tabla2[[#This Row],[CODIGO]])</f>
        <v>5</v>
      </c>
      <c r="N351" s="39">
        <f>SUMIFS([1]!Tabla6[ENTRADA],[1]!Tabla6[CODIGO],[1]!Tabla2[[#This Row],[CODIGO]])</f>
        <v>0</v>
      </c>
      <c r="O351" s="40">
        <f>Tabla29[[#This Row],[DISP]]-Tabla29[[#This Row],[SALIDA]]+Tabla29[[#This Row],[ENTRADA]]</f>
        <v>2712</v>
      </c>
      <c r="P351" s="116">
        <f>IFERROR(VLOOKUP([1]!Tabla2[[#This Row],[CODIGO]],[1]!Tabla6[[CODIGO]:[PRECIO VENTA]],9,0),0)</f>
        <v>0</v>
      </c>
      <c r="Q351" s="114">
        <f>IFERROR([1]!Tabla2[[#This Row],[PRECIO DETAL USD]]*0.8,0)</f>
        <v>18.064</v>
      </c>
      <c r="R351" s="115">
        <f>IFERROR([1]!Tabla2[[#This Row],[STOCK]]*[1]!Tabla2[[#This Row],[COSTO]],0)</f>
        <v>993.52</v>
      </c>
    </row>
    <row r="352" spans="1:18" hidden="1" x14ac:dyDescent="0.35">
      <c r="A352" s="43" t="s">
        <v>1028</v>
      </c>
      <c r="B352" s="32" t="s">
        <v>1010</v>
      </c>
      <c r="C352" s="32" t="s">
        <v>973</v>
      </c>
      <c r="D352" s="33">
        <v>6</v>
      </c>
      <c r="E352" s="33">
        <v>24</v>
      </c>
      <c r="F352" s="34">
        <v>1</v>
      </c>
      <c r="G352" s="35" t="s">
        <v>1029</v>
      </c>
      <c r="H352" s="36" t="s">
        <v>1030</v>
      </c>
      <c r="I352" s="37">
        <v>0</v>
      </c>
      <c r="J352" s="37" t="s">
        <v>43</v>
      </c>
      <c r="K352" s="38"/>
      <c r="L352" s="38"/>
      <c r="M352" s="39">
        <f>SUMIFS([1]!Tabla6[SALIDA],[1]!Tabla6[CODIGO],[1]!Tabla2[[#This Row],[CODIGO]])</f>
        <v>0</v>
      </c>
      <c r="N352" s="39">
        <f>SUMIFS([1]!Tabla6[ENTRADA],[1]!Tabla6[CODIGO],[1]!Tabla2[[#This Row],[CODIGO]])</f>
        <v>0</v>
      </c>
      <c r="O352" s="40">
        <f>Tabla29[[#This Row],[DISP]]-Tabla29[[#This Row],[SALIDA]]+Tabla29[[#This Row],[ENTRADA]]</f>
        <v>0</v>
      </c>
      <c r="P352" s="116">
        <f>IFERROR(VLOOKUP([1]!Tabla2[[#This Row],[CODIGO]],[1]!Tabla6[[CODIGO]:[PRECIO VENTA]],9,0),0)</f>
        <v>0</v>
      </c>
      <c r="Q352" s="114">
        <f>IFERROR([1]!Tabla2[[#This Row],[PRECIO DETAL USD]]*0.8,0)</f>
        <v>20.8</v>
      </c>
      <c r="R352" s="115">
        <f>IFERROR([1]!Tabla2[[#This Row],[STOCK]]*[1]!Tabla2[[#This Row],[COSTO]],0)</f>
        <v>166.4</v>
      </c>
    </row>
    <row r="353" spans="1:18" ht="15" customHeight="1" x14ac:dyDescent="0.35">
      <c r="A353" s="43" t="s">
        <v>1031</v>
      </c>
      <c r="B353" s="32" t="s">
        <v>1010</v>
      </c>
      <c r="C353" s="32" t="s">
        <v>973</v>
      </c>
      <c r="D353" s="33">
        <v>6</v>
      </c>
      <c r="E353" s="33">
        <v>24</v>
      </c>
      <c r="F353" s="34">
        <v>2</v>
      </c>
      <c r="G353" s="35" t="s">
        <v>1032</v>
      </c>
      <c r="H353" s="36" t="s">
        <v>1033</v>
      </c>
      <c r="I353" s="37">
        <v>340</v>
      </c>
      <c r="J353" s="37" t="s">
        <v>43</v>
      </c>
      <c r="K353" s="38">
        <v>13</v>
      </c>
      <c r="L353" s="38">
        <v>9</v>
      </c>
      <c r="M353" s="39">
        <f>SUMIFS([1]!Tabla6[SALIDA],[1]!Tabla6[CODIGO],[1]!Tabla2[[#This Row],[CODIGO]])</f>
        <v>4</v>
      </c>
      <c r="N353" s="39">
        <f>SUMIFS([1]!Tabla6[ENTRADA],[1]!Tabla6[CODIGO],[1]!Tabla2[[#This Row],[CODIGO]])</f>
        <v>0</v>
      </c>
      <c r="O353" s="40">
        <f>Tabla29[[#This Row],[DISP]]-Tabla29[[#This Row],[SALIDA]]+Tabla29[[#This Row],[ENTRADA]]</f>
        <v>336</v>
      </c>
      <c r="P353" s="116">
        <f>IFERROR(VLOOKUP([1]!Tabla2[[#This Row],[CODIGO]],[1]!Tabla6[[CODIGO]:[PRECIO VENTA]],9,0),0)</f>
        <v>0</v>
      </c>
      <c r="Q353" s="114">
        <f>IFERROR([1]!Tabla2[[#This Row],[PRECIO DETAL USD]]*0.8,0)</f>
        <v>10.4</v>
      </c>
      <c r="R353" s="115">
        <f>IFERROR([1]!Tabla2[[#This Row],[STOCK]]*[1]!Tabla2[[#This Row],[COSTO]],0)</f>
        <v>0</v>
      </c>
    </row>
    <row r="354" spans="1:18" ht="15" customHeight="1" x14ac:dyDescent="0.35">
      <c r="A354" s="43" t="s">
        <v>1034</v>
      </c>
      <c r="B354" s="32" t="s">
        <v>1010</v>
      </c>
      <c r="C354" s="32" t="s">
        <v>973</v>
      </c>
      <c r="D354" s="33">
        <v>6</v>
      </c>
      <c r="E354" s="33">
        <v>28</v>
      </c>
      <c r="F354" s="34">
        <v>1</v>
      </c>
      <c r="G354" s="35" t="s">
        <v>1035</v>
      </c>
      <c r="H354" s="36" t="s">
        <v>1036</v>
      </c>
      <c r="I354" s="37">
        <v>300</v>
      </c>
      <c r="J354" s="37" t="s">
        <v>43</v>
      </c>
      <c r="K354" s="38">
        <v>0.8</v>
      </c>
      <c r="L354" s="38">
        <v>0.6</v>
      </c>
      <c r="M354" s="39">
        <f>SUMIFS([1]!Tabla6[SALIDA],[1]!Tabla6[CODIGO],[1]!Tabla2[[#This Row],[CODIGO]])</f>
        <v>2</v>
      </c>
      <c r="N354" s="39">
        <f>SUMIFS([1]!Tabla6[ENTRADA],[1]!Tabla6[CODIGO],[1]!Tabla2[[#This Row],[CODIGO]])</f>
        <v>0</v>
      </c>
      <c r="O354" s="40">
        <f>Tabla29[[#This Row],[DISP]]-Tabla29[[#This Row],[SALIDA]]+Tabla29[[#This Row],[ENTRADA]]</f>
        <v>298</v>
      </c>
      <c r="P354" s="116">
        <f>IFERROR(VLOOKUP([1]!Tabla2[[#This Row],[CODIGO]],[1]!Tabla6[[CODIGO]:[PRECIO VENTA]],9,0),0)</f>
        <v>0</v>
      </c>
      <c r="Q354" s="114">
        <f>IFERROR([1]!Tabla2[[#This Row],[PRECIO DETAL USD]]*0.8,0)</f>
        <v>30.24</v>
      </c>
      <c r="R354" s="115">
        <f>IFERROR([1]!Tabla2[[#This Row],[STOCK]]*[1]!Tabla2[[#This Row],[COSTO]],0)</f>
        <v>1058.3999999999999</v>
      </c>
    </row>
    <row r="355" spans="1:18" ht="15" hidden="1" customHeight="1" x14ac:dyDescent="0.35">
      <c r="A355" s="43" t="s">
        <v>1037</v>
      </c>
      <c r="B355" s="32" t="s">
        <v>1010</v>
      </c>
      <c r="C355" s="32" t="s">
        <v>973</v>
      </c>
      <c r="D355" s="33">
        <v>6</v>
      </c>
      <c r="E355" s="33">
        <v>28</v>
      </c>
      <c r="F355" s="34">
        <v>2</v>
      </c>
      <c r="G355" s="35" t="s">
        <v>1038</v>
      </c>
      <c r="H355" s="36" t="s">
        <v>1039</v>
      </c>
      <c r="I355" s="37">
        <v>0</v>
      </c>
      <c r="J355" s="37" t="s">
        <v>43</v>
      </c>
      <c r="K355" s="38">
        <v>0.9</v>
      </c>
      <c r="L355" s="38"/>
      <c r="M355" s="39">
        <f>SUMIFS([1]!Tabla6[SALIDA],[1]!Tabla6[CODIGO],[1]!Tabla2[[#This Row],[CODIGO]])</f>
        <v>1</v>
      </c>
      <c r="N355" s="39">
        <f>SUMIFS([1]!Tabla6[ENTRADA],[1]!Tabla6[CODIGO],[1]!Tabla2[[#This Row],[CODIGO]])</f>
        <v>1</v>
      </c>
      <c r="O355" s="40">
        <v>0</v>
      </c>
      <c r="P355" s="116">
        <f>IFERROR(VLOOKUP([1]!Tabla2[[#This Row],[CODIGO]],[1]!Tabla6[[CODIGO]:[PRECIO VENTA]],9,0),0)</f>
        <v>0</v>
      </c>
      <c r="Q355" s="114">
        <f>IFERROR([1]!Tabla2[[#This Row],[PRECIO DETAL USD]]*0.8,0)</f>
        <v>18.400000000000002</v>
      </c>
      <c r="R355" s="115">
        <f>IFERROR([1]!Tabla2[[#This Row],[STOCK]]*[1]!Tabla2[[#This Row],[COSTO]],0)</f>
        <v>0</v>
      </c>
    </row>
    <row r="356" spans="1:18" ht="15" customHeight="1" x14ac:dyDescent="0.35">
      <c r="A356" s="43" t="s">
        <v>1040</v>
      </c>
      <c r="B356" s="32" t="s">
        <v>1010</v>
      </c>
      <c r="C356" s="32" t="s">
        <v>973</v>
      </c>
      <c r="D356" s="33">
        <v>6</v>
      </c>
      <c r="E356" s="33">
        <v>29</v>
      </c>
      <c r="F356" s="34">
        <v>1</v>
      </c>
      <c r="G356" s="35" t="s">
        <v>1041</v>
      </c>
      <c r="H356" s="36" t="s">
        <v>1042</v>
      </c>
      <c r="I356" s="37">
        <v>53</v>
      </c>
      <c r="J356" s="37" t="s">
        <v>43</v>
      </c>
      <c r="K356" s="38">
        <v>1.5</v>
      </c>
      <c r="L356" s="38">
        <v>1.3</v>
      </c>
      <c r="M356" s="39">
        <f>SUMIFS([1]!Tabla6[SALIDA],[1]!Tabla6[CODIGO],[1]!Tabla2[[#This Row],[CODIGO]])</f>
        <v>0</v>
      </c>
      <c r="N356" s="39">
        <f>SUMIFS([1]!Tabla6[ENTRADA],[1]!Tabla6[CODIGO],[1]!Tabla2[[#This Row],[CODIGO]])</f>
        <v>0</v>
      </c>
      <c r="O356" s="40">
        <f>Tabla29[[#This Row],[DISP]]-Tabla29[[#This Row],[SALIDA]]+Tabla29[[#This Row],[ENTRADA]]</f>
        <v>53</v>
      </c>
      <c r="P356" s="116">
        <f>IFERROR(VLOOKUP([1]!Tabla2[[#This Row],[CODIGO]],[1]!Tabla6[[CODIGO]:[PRECIO VENTA]],9,0),0)</f>
        <v>0</v>
      </c>
      <c r="Q356" s="114">
        <f>IFERROR([1]!Tabla2[[#This Row],[PRECIO DETAL USD]]*0.8,0)</f>
        <v>0</v>
      </c>
      <c r="R356" s="115">
        <f>IFERROR([1]!Tabla2[[#This Row],[STOCK]]*[1]!Tabla2[[#This Row],[COSTO]],0)</f>
        <v>0</v>
      </c>
    </row>
    <row r="357" spans="1:18" ht="15" customHeight="1" x14ac:dyDescent="0.4">
      <c r="A357" s="41">
        <v>38</v>
      </c>
      <c r="B357" s="20"/>
      <c r="C357" s="21"/>
      <c r="D357" s="22"/>
      <c r="E357" s="22"/>
      <c r="F357" s="22"/>
      <c r="G357" s="23" t="s">
        <v>1043</v>
      </c>
      <c r="H357" s="24"/>
      <c r="I357" s="22"/>
      <c r="J357" s="25"/>
      <c r="K357" s="26" t="s">
        <v>20</v>
      </c>
      <c r="L357" s="22"/>
      <c r="M357" s="22"/>
      <c r="N357" s="22"/>
      <c r="O357" s="27" t="s">
        <v>21</v>
      </c>
      <c r="P357" s="113">
        <f>IFERROR(VLOOKUP([1]!Tabla2[[#This Row],[CODIGO]],[1]!Tabla6[[CODIGO]:[PRECIO VENTA]],9,0),0)</f>
        <v>0</v>
      </c>
      <c r="Q357" s="114">
        <f>IFERROR([1]!Tabla2[[#This Row],[PRECIO DETAL USD]]*0.8,0)</f>
        <v>48</v>
      </c>
      <c r="R357" s="115">
        <f>IFERROR([1]!Tabla2[[#This Row],[STOCK]]*[1]!Tabla2[[#This Row],[COSTO]],0)</f>
        <v>144</v>
      </c>
    </row>
    <row r="358" spans="1:18" ht="15" customHeight="1" x14ac:dyDescent="0.35">
      <c r="A358" s="43" t="s">
        <v>1044</v>
      </c>
      <c r="B358" s="32" t="s">
        <v>1045</v>
      </c>
      <c r="C358" s="32" t="s">
        <v>973</v>
      </c>
      <c r="D358" s="33">
        <v>6</v>
      </c>
      <c r="E358" s="33">
        <v>29</v>
      </c>
      <c r="F358" s="34">
        <v>2</v>
      </c>
      <c r="G358" s="35" t="s">
        <v>1046</v>
      </c>
      <c r="H358" s="36" t="s">
        <v>1047</v>
      </c>
      <c r="I358" s="37">
        <v>6250</v>
      </c>
      <c r="J358" s="37" t="s">
        <v>43</v>
      </c>
      <c r="K358" s="38">
        <v>0.7</v>
      </c>
      <c r="L358" s="44"/>
      <c r="M358" s="39">
        <f>SUMIFS([1]!Tabla6[SALIDA],[1]!Tabla6[CODIGO],[1]!Tabla2[[#This Row],[CODIGO]])</f>
        <v>0</v>
      </c>
      <c r="N358" s="39">
        <f>SUMIFS([1]!Tabla6[ENTRADA],[1]!Tabla6[CODIGO],[1]!Tabla2[[#This Row],[CODIGO]])</f>
        <v>0</v>
      </c>
      <c r="O358" s="40">
        <f>Tabla29[[#This Row],[DISP]]-Tabla29[[#This Row],[SALIDA]]+Tabla29[[#This Row],[ENTRADA]]</f>
        <v>6250</v>
      </c>
      <c r="P358" s="116">
        <f>IFERROR(VLOOKUP([1]!Tabla2[[#This Row],[CODIGO]],[1]!Tabla6[[CODIGO]:[PRECIO VENTA]],9,0),0)</f>
        <v>0</v>
      </c>
      <c r="Q358" s="114">
        <f>IFERROR([1]!Tabla2[[#This Row],[PRECIO DETAL USD]]*0.8,0)</f>
        <v>0</v>
      </c>
      <c r="R358" s="115">
        <f>IFERROR([1]!Tabla2[[#This Row],[STOCK]]*[1]!Tabla2[[#This Row],[COSTO]],0)</f>
        <v>0</v>
      </c>
    </row>
    <row r="359" spans="1:18" ht="15" customHeight="1" x14ac:dyDescent="0.35">
      <c r="A359" s="43" t="s">
        <v>1048</v>
      </c>
      <c r="B359" s="32" t="s">
        <v>1045</v>
      </c>
      <c r="C359" s="32" t="s">
        <v>973</v>
      </c>
      <c r="D359" s="33">
        <v>6</v>
      </c>
      <c r="E359" s="33">
        <v>29</v>
      </c>
      <c r="F359" s="34">
        <v>3</v>
      </c>
      <c r="G359" s="35" t="s">
        <v>1049</v>
      </c>
      <c r="H359" s="36" t="s">
        <v>1050</v>
      </c>
      <c r="I359" s="37">
        <v>72</v>
      </c>
      <c r="J359" s="37" t="s">
        <v>43</v>
      </c>
      <c r="K359" s="38">
        <v>1.45</v>
      </c>
      <c r="L359" s="44"/>
      <c r="M359" s="39">
        <f>SUMIFS([1]!Tabla6[SALIDA],[1]!Tabla6[CODIGO],[1]!Tabla2[[#This Row],[CODIGO]])</f>
        <v>129</v>
      </c>
      <c r="N359" s="39">
        <f>SUMIFS([1]!Tabla6[ENTRADA],[1]!Tabla6[CODIGO],[1]!Tabla2[[#This Row],[CODIGO]])</f>
        <v>0</v>
      </c>
      <c r="O359" s="40">
        <f>Tabla29[[#This Row],[DISP]]-Tabla29[[#This Row],[SALIDA]]+Tabla29[[#This Row],[ENTRADA]]</f>
        <v>-57</v>
      </c>
      <c r="P359" s="116">
        <f>IFERROR(VLOOKUP([1]!Tabla2[[#This Row],[CODIGO]],[1]!Tabla6[[CODIGO]:[PRECIO VENTA]],9,0),0)</f>
        <v>0</v>
      </c>
      <c r="Q359" s="114">
        <f>IFERROR([1]!Tabla2[[#This Row],[PRECIO DETAL USD]]*0.8,0)</f>
        <v>2.3199999999999998</v>
      </c>
      <c r="R359" s="115">
        <f>IFERROR([1]!Tabla2[[#This Row],[STOCK]]*[1]!Tabla2[[#This Row],[COSTO]],0)</f>
        <v>8985.3599999999988</v>
      </c>
    </row>
    <row r="360" spans="1:18" ht="15" customHeight="1" x14ac:dyDescent="0.35">
      <c r="A360" s="43" t="s">
        <v>1051</v>
      </c>
      <c r="B360" s="32" t="s">
        <v>1010</v>
      </c>
      <c r="C360" s="32" t="s">
        <v>973</v>
      </c>
      <c r="D360" s="33">
        <v>6</v>
      </c>
      <c r="E360" s="33">
        <v>29</v>
      </c>
      <c r="F360" s="34">
        <v>4</v>
      </c>
      <c r="G360" s="35" t="s">
        <v>1052</v>
      </c>
      <c r="H360" s="36" t="s">
        <v>1053</v>
      </c>
      <c r="I360" s="37">
        <v>15790</v>
      </c>
      <c r="J360" s="37" t="s">
        <v>43</v>
      </c>
      <c r="K360" s="38">
        <v>0.99</v>
      </c>
      <c r="L360" s="38">
        <v>0.85</v>
      </c>
      <c r="M360" s="39">
        <f>SUMIFS([1]!Tabla6[SALIDA],[1]!Tabla6[CODIGO],[1]!Tabla2[[#This Row],[CODIGO]])</f>
        <v>324</v>
      </c>
      <c r="N360" s="39">
        <f>SUMIFS([1]!Tabla6[ENTRADA],[1]!Tabla6[CODIGO],[1]!Tabla2[[#This Row],[CODIGO]])</f>
        <v>0</v>
      </c>
      <c r="O360" s="40">
        <f>Tabla29[[#This Row],[DISP]]-Tabla29[[#This Row],[SALIDA]]+Tabla29[[#This Row],[ENTRADA]]</f>
        <v>15466</v>
      </c>
      <c r="P360" s="116">
        <f>IFERROR(VLOOKUP([1]!Tabla2[[#This Row],[CODIGO]],[1]!Tabla6[[CODIGO]:[PRECIO VENTA]],9,0),0)</f>
        <v>0</v>
      </c>
      <c r="Q360" s="114">
        <f>IFERROR([1]!Tabla2[[#This Row],[PRECIO DETAL USD]]*0.8,0)</f>
        <v>2.8000000000000003</v>
      </c>
      <c r="R360" s="115">
        <f>IFERROR([1]!Tabla2[[#This Row],[STOCK]]*[1]!Tabla2[[#This Row],[COSTO]],0)</f>
        <v>3480.4000000000005</v>
      </c>
    </row>
    <row r="361" spans="1:18" ht="15" customHeight="1" x14ac:dyDescent="0.35">
      <c r="A361" s="43" t="s">
        <v>1054</v>
      </c>
      <c r="B361" s="32" t="s">
        <v>1045</v>
      </c>
      <c r="C361" s="32" t="s">
        <v>973</v>
      </c>
      <c r="D361" s="33">
        <v>8</v>
      </c>
      <c r="E361" s="33">
        <v>21</v>
      </c>
      <c r="F361" s="34">
        <v>1</v>
      </c>
      <c r="G361" s="35" t="s">
        <v>1055</v>
      </c>
      <c r="H361" s="36" t="s">
        <v>1056</v>
      </c>
      <c r="I361" s="37">
        <v>741</v>
      </c>
      <c r="J361" s="37" t="s">
        <v>43</v>
      </c>
      <c r="K361" s="38">
        <v>1.2</v>
      </c>
      <c r="L361" s="38">
        <v>0.95</v>
      </c>
      <c r="M361" s="39">
        <f>SUMIFS([1]!Tabla6[SALIDA],[1]!Tabla6[CODIGO],[1]!Tabla2[[#This Row],[CODIGO]])</f>
        <v>5</v>
      </c>
      <c r="N361" s="39">
        <f>SUMIFS([1]!Tabla6[ENTRADA],[1]!Tabla6[CODIGO],[1]!Tabla2[[#This Row],[CODIGO]])</f>
        <v>0</v>
      </c>
      <c r="O361" s="40">
        <f>Tabla29[[#This Row],[DISP]]-Tabla29[[#This Row],[SALIDA]]+Tabla29[[#This Row],[ENTRADA]]</f>
        <v>736</v>
      </c>
      <c r="P361" s="116">
        <f>IFERROR(VLOOKUP([1]!Tabla2[[#This Row],[CODIGO]],[1]!Tabla6[[CODIGO]:[PRECIO VENTA]],9,0),0)</f>
        <v>0</v>
      </c>
      <c r="Q361" s="114">
        <f>IFERROR([1]!Tabla2[[#This Row],[PRECIO DETAL USD]]*0.8,0)</f>
        <v>5.2</v>
      </c>
      <c r="R361" s="115">
        <f>IFERROR([1]!Tabla2[[#This Row],[STOCK]]*[1]!Tabla2[[#This Row],[COSTO]],0)</f>
        <v>1014</v>
      </c>
    </row>
    <row r="362" spans="1:18" ht="15" customHeight="1" x14ac:dyDescent="0.35">
      <c r="A362" s="43" t="s">
        <v>1057</v>
      </c>
      <c r="B362" s="32" t="s">
        <v>1045</v>
      </c>
      <c r="C362" s="32" t="s">
        <v>973</v>
      </c>
      <c r="D362" s="33">
        <v>8</v>
      </c>
      <c r="E362" s="33">
        <v>21</v>
      </c>
      <c r="F362" s="34">
        <v>2</v>
      </c>
      <c r="G362" s="35" t="s">
        <v>1058</v>
      </c>
      <c r="H362" s="36" t="s">
        <v>1059</v>
      </c>
      <c r="I362" s="37">
        <v>1482</v>
      </c>
      <c r="J362" s="37" t="s">
        <v>43</v>
      </c>
      <c r="K362" s="38">
        <v>4.5</v>
      </c>
      <c r="L362" s="38">
        <v>3.5</v>
      </c>
      <c r="M362" s="39">
        <f>SUMIFS([1]!Tabla6[SALIDA],[1]!Tabla6[CODIGO],[1]!Tabla2[[#This Row],[CODIGO]])</f>
        <v>0</v>
      </c>
      <c r="N362" s="39">
        <f>SUMIFS([1]!Tabla6[ENTRADA],[1]!Tabla6[CODIGO],[1]!Tabla2[[#This Row],[CODIGO]])</f>
        <v>0</v>
      </c>
      <c r="O362" s="40">
        <f>Tabla29[[#This Row],[DISP]]-Tabla29[[#This Row],[SALIDA]]+Tabla29[[#This Row],[ENTRADA]]</f>
        <v>1482</v>
      </c>
      <c r="P362" s="116">
        <f>IFERROR(VLOOKUP([1]!Tabla2[[#This Row],[CODIGO]],[1]!Tabla6[[CODIGO]:[PRECIO VENTA]],9,0),0)</f>
        <v>0</v>
      </c>
      <c r="Q362" s="114">
        <f>IFERROR([1]!Tabla2[[#This Row],[PRECIO DETAL USD]]*0.8,0)</f>
        <v>2.5600000000000005</v>
      </c>
      <c r="R362" s="115">
        <f>IFERROR([1]!Tabla2[[#This Row],[STOCK]]*[1]!Tabla2[[#This Row],[COSTO]],0)</f>
        <v>0</v>
      </c>
    </row>
    <row r="363" spans="1:18" ht="15" customHeight="1" x14ac:dyDescent="0.35">
      <c r="A363" s="43" t="s">
        <v>1060</v>
      </c>
      <c r="B363" s="32" t="s">
        <v>1045</v>
      </c>
      <c r="C363" s="32" t="s">
        <v>973</v>
      </c>
      <c r="D363" s="33">
        <v>8</v>
      </c>
      <c r="E363" s="33">
        <v>22</v>
      </c>
      <c r="F363" s="34">
        <v>1</v>
      </c>
      <c r="G363" s="35" t="s">
        <v>1061</v>
      </c>
      <c r="H363" s="36" t="s">
        <v>1062</v>
      </c>
      <c r="I363" s="37">
        <v>400</v>
      </c>
      <c r="J363" s="37" t="s">
        <v>43</v>
      </c>
      <c r="K363" s="38">
        <v>5.5</v>
      </c>
      <c r="L363" s="38">
        <v>3.9</v>
      </c>
      <c r="M363" s="39">
        <f>SUMIFS([1]!Tabla6[SALIDA],[1]!Tabla6[CODIGO],[1]!Tabla2[[#This Row],[CODIGO]])</f>
        <v>0</v>
      </c>
      <c r="N363" s="39">
        <f>SUMIFS([1]!Tabla6[ENTRADA],[1]!Tabla6[CODIGO],[1]!Tabla2[[#This Row],[CODIGO]])</f>
        <v>0</v>
      </c>
      <c r="O363" s="40">
        <f>Tabla29[[#This Row],[DISP]]-Tabla29[[#This Row],[SALIDA]]+Tabla29[[#This Row],[ENTRADA]]</f>
        <v>400</v>
      </c>
      <c r="P363" s="116">
        <f>IFERROR(VLOOKUP([1]!Tabla2[[#This Row],[CODIGO]],[1]!Tabla6[[CODIGO]:[PRECIO VENTA]],9,0),0)</f>
        <v>0</v>
      </c>
      <c r="Q363" s="114">
        <f>IFERROR([1]!Tabla2[[#This Row],[PRECIO DETAL USD]]*0.8,0)</f>
        <v>2.5600000000000005</v>
      </c>
      <c r="R363" s="115">
        <f>IFERROR([1]!Tabla2[[#This Row],[STOCK]]*[1]!Tabla2[[#This Row],[COSTO]],0)</f>
        <v>0</v>
      </c>
    </row>
    <row r="364" spans="1:18" ht="15" customHeight="1" x14ac:dyDescent="0.35">
      <c r="A364" s="43" t="s">
        <v>1063</v>
      </c>
      <c r="B364" s="32" t="s">
        <v>1045</v>
      </c>
      <c r="C364" s="32" t="s">
        <v>973</v>
      </c>
      <c r="D364" s="33">
        <v>8</v>
      </c>
      <c r="E364" s="33">
        <v>22</v>
      </c>
      <c r="F364" s="34">
        <v>2</v>
      </c>
      <c r="G364" s="35" t="s">
        <v>1064</v>
      </c>
      <c r="H364" s="36" t="s">
        <v>1065</v>
      </c>
      <c r="I364" s="37">
        <v>813</v>
      </c>
      <c r="J364" s="37" t="s">
        <v>43</v>
      </c>
      <c r="K364" s="38">
        <v>4.2</v>
      </c>
      <c r="L364" s="44"/>
      <c r="M364" s="39">
        <f>SUMIFS([1]!Tabla6[SALIDA],[1]!Tabla6[CODIGO],[1]!Tabla2[[#This Row],[CODIGO]])</f>
        <v>0</v>
      </c>
      <c r="N364" s="39">
        <f>SUMIFS([1]!Tabla6[ENTRADA],[1]!Tabla6[CODIGO],[1]!Tabla2[[#This Row],[CODIGO]])</f>
        <v>0</v>
      </c>
      <c r="O364" s="40">
        <f>Tabla29[[#This Row],[DISP]]-Tabla29[[#This Row],[SALIDA]]+Tabla29[[#This Row],[ENTRADA]]</f>
        <v>813</v>
      </c>
      <c r="P364" s="116">
        <f>IFERROR(VLOOKUP([1]!Tabla2[[#This Row],[CODIGO]],[1]!Tabla6[[CODIGO]:[PRECIO VENTA]],9,0),0)</f>
        <v>0</v>
      </c>
      <c r="Q364" s="114">
        <f>IFERROR([1]!Tabla2[[#This Row],[PRECIO DETAL USD]]*0.8,0)</f>
        <v>2.9600000000000004</v>
      </c>
      <c r="R364" s="115">
        <f>IFERROR([1]!Tabla2[[#This Row],[STOCK]]*[1]!Tabla2[[#This Row],[COSTO]],0)</f>
        <v>59.20000000000001</v>
      </c>
    </row>
    <row r="365" spans="1:18" ht="15" customHeight="1" x14ac:dyDescent="0.4">
      <c r="A365" s="41">
        <v>39</v>
      </c>
      <c r="B365" s="20"/>
      <c r="C365" s="21"/>
      <c r="D365" s="22"/>
      <c r="E365" s="22"/>
      <c r="F365" s="22"/>
      <c r="G365" s="23" t="s">
        <v>1066</v>
      </c>
      <c r="H365" s="24"/>
      <c r="I365" s="22"/>
      <c r="J365" s="25"/>
      <c r="K365" s="26" t="s">
        <v>20</v>
      </c>
      <c r="L365" s="22"/>
      <c r="M365" s="22"/>
      <c r="N365" s="22"/>
      <c r="O365" s="27" t="s">
        <v>21</v>
      </c>
      <c r="P365" s="116">
        <f>IFERROR(VLOOKUP([1]!Tabla2[[#This Row],[CODIGO]],[1]!Tabla6[[CODIGO]:[PRECIO VENTA]],9,0),0)</f>
        <v>0</v>
      </c>
      <c r="Q365" s="114">
        <f>IFERROR([1]!Tabla2[[#This Row],[PRECIO DETAL USD]]*0.8,0)</f>
        <v>6.8000000000000007</v>
      </c>
      <c r="R365" s="115">
        <f>IFERROR([1]!Tabla2[[#This Row],[STOCK]]*[1]!Tabla2[[#This Row],[COSTO]],0)</f>
        <v>2053.6000000000004</v>
      </c>
    </row>
    <row r="366" spans="1:18" ht="15" customHeight="1" x14ac:dyDescent="0.35">
      <c r="A366" s="43" t="s">
        <v>1067</v>
      </c>
      <c r="B366" s="32" t="s">
        <v>1045</v>
      </c>
      <c r="C366" s="32" t="s">
        <v>973</v>
      </c>
      <c r="D366" s="33">
        <v>8</v>
      </c>
      <c r="E366" s="33">
        <v>22</v>
      </c>
      <c r="F366" s="34">
        <v>3</v>
      </c>
      <c r="G366" s="35" t="s">
        <v>1068</v>
      </c>
      <c r="H366" s="36" t="s">
        <v>1069</v>
      </c>
      <c r="I366" s="37">
        <v>995</v>
      </c>
      <c r="J366" s="37" t="s">
        <v>43</v>
      </c>
      <c r="K366" s="38">
        <v>0.65</v>
      </c>
      <c r="L366" s="44"/>
      <c r="M366" s="39">
        <f>SUMIFS([1]!Tabla6[SALIDA],[1]!Tabla6[CODIGO],[1]!Tabla2[[#This Row],[CODIGO]])</f>
        <v>20</v>
      </c>
      <c r="N366" s="39">
        <f>SUMIFS([1]!Tabla6[ENTRADA],[1]!Tabla6[CODIGO],[1]!Tabla2[[#This Row],[CODIGO]])</f>
        <v>0</v>
      </c>
      <c r="O366" s="40">
        <f>Tabla29[[#This Row],[DISP]]-Tabla29[[#This Row],[SALIDA]]+Tabla29[[#This Row],[ENTRADA]]</f>
        <v>975</v>
      </c>
      <c r="P366" s="116">
        <f>IFERROR(VLOOKUP([1]!Tabla2[[#This Row],[CODIGO]],[1]!Tabla6[[CODIGO]:[PRECIO VENTA]],9,0),0)</f>
        <v>0</v>
      </c>
      <c r="Q366" s="114">
        <f>IFERROR([1]!Tabla2[[#This Row],[PRECIO DETAL USD]]*0.8,0)</f>
        <v>27.200000000000003</v>
      </c>
      <c r="R366" s="115">
        <f>IFERROR([1]!Tabla2[[#This Row],[STOCK]]*[1]!Tabla2[[#This Row],[COSTO]],0)</f>
        <v>0</v>
      </c>
    </row>
    <row r="367" spans="1:18" ht="15" customHeight="1" x14ac:dyDescent="0.35">
      <c r="A367" s="43" t="s">
        <v>1070</v>
      </c>
      <c r="B367" s="32" t="s">
        <v>1045</v>
      </c>
      <c r="C367" s="32" t="s">
        <v>973</v>
      </c>
      <c r="D367" s="33">
        <v>8</v>
      </c>
      <c r="E367" s="33">
        <v>22</v>
      </c>
      <c r="F367" s="34">
        <v>4</v>
      </c>
      <c r="G367" s="35" t="s">
        <v>1071</v>
      </c>
      <c r="H367" s="36" t="s">
        <v>1072</v>
      </c>
      <c r="I367" s="37">
        <v>2569</v>
      </c>
      <c r="J367" s="37" t="s">
        <v>43</v>
      </c>
      <c r="K367" s="38">
        <v>0.85</v>
      </c>
      <c r="L367" s="46"/>
      <c r="M367" s="39">
        <f>SUMIFS([1]!Tabla6[SALIDA],[1]!Tabla6[CODIGO],[1]!Tabla2[[#This Row],[CODIGO]])</f>
        <v>150</v>
      </c>
      <c r="N367" s="39">
        <f>SUMIFS([1]!Tabla6[ENTRADA],[1]!Tabla6[CODIGO],[1]!Tabla2[[#This Row],[CODIGO]])</f>
        <v>0</v>
      </c>
      <c r="O367" s="40">
        <f>Tabla29[[#This Row],[DISP]]-Tabla29[[#This Row],[SALIDA]]+Tabla29[[#This Row],[ENTRADA]]</f>
        <v>2419</v>
      </c>
      <c r="P367" s="116">
        <f>IFERROR(VLOOKUP([1]!Tabla2[[#This Row],[CODIGO]],[1]!Tabla6[[CODIGO]:[PRECIO VENTA]],9,0),0)</f>
        <v>0</v>
      </c>
      <c r="Q367" s="114">
        <f>IFERROR([1]!Tabla2[[#This Row],[PRECIO DETAL USD]]*0.8,0)</f>
        <v>29.6</v>
      </c>
      <c r="R367" s="115">
        <f>IFERROR([1]!Tabla2[[#This Row],[STOCK]]*[1]!Tabla2[[#This Row],[COSTO]],0)</f>
        <v>9412.8000000000011</v>
      </c>
    </row>
    <row r="368" spans="1:18" ht="15" customHeight="1" x14ac:dyDescent="0.35">
      <c r="A368" s="43" t="s">
        <v>1073</v>
      </c>
      <c r="B368" s="32" t="s">
        <v>1045</v>
      </c>
      <c r="C368" s="32" t="s">
        <v>973</v>
      </c>
      <c r="D368" s="33">
        <v>8</v>
      </c>
      <c r="E368" s="33">
        <v>22</v>
      </c>
      <c r="F368" s="34">
        <v>5</v>
      </c>
      <c r="G368" s="35" t="s">
        <v>1074</v>
      </c>
      <c r="H368" s="36" t="s">
        <v>1075</v>
      </c>
      <c r="I368" s="37">
        <v>315</v>
      </c>
      <c r="J368" s="37" t="s">
        <v>43</v>
      </c>
      <c r="K368" s="38">
        <v>1.6</v>
      </c>
      <c r="L368" s="38">
        <v>1.3</v>
      </c>
      <c r="M368" s="39">
        <f>SUMIFS([1]!Tabla6[SALIDA],[1]!Tabla6[CODIGO],[1]!Tabla2[[#This Row],[CODIGO]])</f>
        <v>0</v>
      </c>
      <c r="N368" s="39">
        <f>SUMIFS([1]!Tabla6[ENTRADA],[1]!Tabla6[CODIGO],[1]!Tabla2[[#This Row],[CODIGO]])</f>
        <v>0</v>
      </c>
      <c r="O368" s="40">
        <f>Tabla29[[#This Row],[DISP]]-Tabla29[[#This Row],[SALIDA]]+Tabla29[[#This Row],[ENTRADA]]</f>
        <v>315</v>
      </c>
      <c r="P368" s="116">
        <f>IFERROR(VLOOKUP([1]!Tabla2[[#This Row],[CODIGO]],[1]!Tabla6[[CODIGO]:[PRECIO VENTA]],9,0),0)</f>
        <v>0</v>
      </c>
      <c r="Q368" s="114">
        <f>IFERROR([1]!Tabla2[[#This Row],[PRECIO DETAL USD]]*0.8,0)</f>
        <v>0</v>
      </c>
      <c r="R368" s="115">
        <f>IFERROR([1]!Tabla2[[#This Row],[STOCK]]*[1]!Tabla2[[#This Row],[COSTO]],0)</f>
        <v>0</v>
      </c>
    </row>
    <row r="369" spans="1:18" ht="15" customHeight="1" x14ac:dyDescent="0.35">
      <c r="A369" s="43" t="s">
        <v>1076</v>
      </c>
      <c r="B369" s="32" t="s">
        <v>1045</v>
      </c>
      <c r="C369" s="32" t="s">
        <v>973</v>
      </c>
      <c r="D369" s="33">
        <v>8</v>
      </c>
      <c r="E369" s="33">
        <v>22</v>
      </c>
      <c r="F369" s="34">
        <v>6</v>
      </c>
      <c r="G369" s="35" t="s">
        <v>1077</v>
      </c>
      <c r="H369" s="36" t="s">
        <v>1078</v>
      </c>
      <c r="I369" s="37">
        <v>311</v>
      </c>
      <c r="J369" s="37" t="s">
        <v>43</v>
      </c>
      <c r="K369" s="38">
        <v>1.8</v>
      </c>
      <c r="L369" s="38">
        <v>1.5</v>
      </c>
      <c r="M369" s="39">
        <f>SUMIFS([1]!Tabla6[SALIDA],[1]!Tabla6[CODIGO],[1]!Tabla2[[#This Row],[CODIGO]])</f>
        <v>13</v>
      </c>
      <c r="N369" s="39">
        <f>SUMIFS([1]!Tabla6[ENTRADA],[1]!Tabla6[CODIGO],[1]!Tabla2[[#This Row],[CODIGO]])</f>
        <v>0</v>
      </c>
      <c r="O369" s="40">
        <f>Tabla29[[#This Row],[DISP]]-Tabla29[[#This Row],[SALIDA]]+Tabla29[[#This Row],[ENTRADA]]</f>
        <v>298</v>
      </c>
      <c r="P369" s="116">
        <f>IFERROR(VLOOKUP([1]!Tabla2[[#This Row],[CODIGO]],[1]!Tabla6[[CODIGO]:[PRECIO VENTA]],9,0),0)</f>
        <v>0</v>
      </c>
      <c r="Q369" s="114">
        <f>IFERROR([1]!Tabla2[[#This Row],[PRECIO DETAL USD]]*0.8,0)</f>
        <v>3.16</v>
      </c>
      <c r="R369" s="115">
        <f>IFERROR([1]!Tabla2[[#This Row],[STOCK]]*[1]!Tabla2[[#This Row],[COSTO]],0)</f>
        <v>2913.52</v>
      </c>
    </row>
    <row r="370" spans="1:18" ht="15" customHeight="1" x14ac:dyDescent="0.4">
      <c r="A370" s="41">
        <v>40</v>
      </c>
      <c r="B370" s="20"/>
      <c r="C370" s="21"/>
      <c r="D370" s="22"/>
      <c r="E370" s="22"/>
      <c r="F370" s="22"/>
      <c r="G370" s="23" t="s">
        <v>1079</v>
      </c>
      <c r="H370" s="24"/>
      <c r="I370" s="22"/>
      <c r="J370" s="25"/>
      <c r="K370" s="26" t="s">
        <v>20</v>
      </c>
      <c r="L370" s="22"/>
      <c r="M370" s="22"/>
      <c r="N370" s="22"/>
      <c r="O370" s="27" t="s">
        <v>21</v>
      </c>
      <c r="P370" s="116">
        <f>IFERROR(VLOOKUP([1]!Tabla2[[#This Row],[CODIGO]],[1]!Tabla6[[CODIGO]:[PRECIO VENTA]],9,0),0)</f>
        <v>0</v>
      </c>
      <c r="Q370" s="114">
        <f>IFERROR([1]!Tabla2[[#This Row],[PRECIO DETAL USD]]*0.8,0)</f>
        <v>6.32</v>
      </c>
      <c r="R370" s="115">
        <f>IFERROR([1]!Tabla2[[#This Row],[STOCK]]*[1]!Tabla2[[#This Row],[COSTO]],0)</f>
        <v>5037.04</v>
      </c>
    </row>
    <row r="371" spans="1:18" ht="15" customHeight="1" x14ac:dyDescent="0.35">
      <c r="A371" s="43" t="s">
        <v>1080</v>
      </c>
      <c r="B371" s="32" t="s">
        <v>1045</v>
      </c>
      <c r="C371" s="32" t="s">
        <v>973</v>
      </c>
      <c r="D371" s="33">
        <v>8</v>
      </c>
      <c r="E371" s="33">
        <v>22</v>
      </c>
      <c r="F371" s="34">
        <v>7</v>
      </c>
      <c r="G371" s="35" t="s">
        <v>1081</v>
      </c>
      <c r="H371" s="36" t="s">
        <v>1082</v>
      </c>
      <c r="I371" s="37">
        <v>340</v>
      </c>
      <c r="J371" s="37" t="s">
        <v>43</v>
      </c>
      <c r="K371" s="38">
        <v>0.65</v>
      </c>
      <c r="L371" s="44"/>
      <c r="M371" s="39">
        <f>SUMIFS([1]!Tabla6[SALIDA],[1]!Tabla6[CODIGO],[1]!Tabla2[[#This Row],[CODIGO]])</f>
        <v>2</v>
      </c>
      <c r="N371" s="39">
        <f>SUMIFS([1]!Tabla6[ENTRADA],[1]!Tabla6[CODIGO],[1]!Tabla2[[#This Row],[CODIGO]])</f>
        <v>0</v>
      </c>
      <c r="O371" s="40">
        <f>Tabla29[[#This Row],[DISP]]-Tabla29[[#This Row],[SALIDA]]+Tabla29[[#This Row],[ENTRADA]]</f>
        <v>338</v>
      </c>
      <c r="P371" s="116">
        <f>IFERROR(VLOOKUP([1]!Tabla2[[#This Row],[CODIGO]],[1]!Tabla6[[CODIGO]:[PRECIO VENTA]],9,0),0)</f>
        <v>0</v>
      </c>
      <c r="Q371" s="114">
        <f>IFERROR([1]!Tabla2[[#This Row],[PRECIO DETAL USD]]*0.8,0)</f>
        <v>7.120000000000001</v>
      </c>
      <c r="R371" s="115">
        <f>IFERROR([1]!Tabla2[[#This Row],[STOCK]]*[1]!Tabla2[[#This Row],[COSTO]],0)</f>
        <v>3709.5200000000004</v>
      </c>
    </row>
    <row r="372" spans="1:18" ht="15" customHeight="1" x14ac:dyDescent="0.35">
      <c r="A372" s="43" t="s">
        <v>1083</v>
      </c>
      <c r="B372" s="32" t="s">
        <v>1045</v>
      </c>
      <c r="C372" s="32" t="s">
        <v>973</v>
      </c>
      <c r="D372" s="33">
        <v>8</v>
      </c>
      <c r="E372" s="33">
        <v>22</v>
      </c>
      <c r="F372" s="34">
        <v>8</v>
      </c>
      <c r="G372" s="35" t="s">
        <v>1084</v>
      </c>
      <c r="H372" s="36" t="s">
        <v>1085</v>
      </c>
      <c r="I372" s="37">
        <v>29</v>
      </c>
      <c r="J372" s="37" t="s">
        <v>43</v>
      </c>
      <c r="K372" s="38">
        <v>0.75</v>
      </c>
      <c r="L372" s="44"/>
      <c r="M372" s="39">
        <f>SUMIFS([1]!Tabla6[SALIDA],[1]!Tabla6[CODIGO],[1]!Tabla2[[#This Row],[CODIGO]])</f>
        <v>34</v>
      </c>
      <c r="N372" s="39">
        <f>SUMIFS([1]!Tabla6[ENTRADA],[1]!Tabla6[CODIGO],[1]!Tabla2[[#This Row],[CODIGO]])</f>
        <v>0</v>
      </c>
      <c r="O372" s="40">
        <f>Tabla29[[#This Row],[DISP]]-Tabla29[[#This Row],[SALIDA]]+Tabla29[[#This Row],[ENTRADA]]</f>
        <v>-5</v>
      </c>
      <c r="P372" s="116">
        <f>IFERROR(VLOOKUP([1]!Tabla2[[#This Row],[CODIGO]],[1]!Tabla6[[CODIGO]:[PRECIO VENTA]],9,0),0)</f>
        <v>0</v>
      </c>
      <c r="Q372" s="114">
        <f>IFERROR([1]!Tabla2[[#This Row],[PRECIO DETAL USD]]*0.8,0)</f>
        <v>7.6000000000000005</v>
      </c>
      <c r="R372" s="115">
        <f>IFERROR([1]!Tabla2[[#This Row],[STOCK]]*[1]!Tabla2[[#This Row],[COSTO]],0)</f>
        <v>1398.4</v>
      </c>
    </row>
    <row r="373" spans="1:18" ht="15" customHeight="1" x14ac:dyDescent="0.35">
      <c r="A373" s="43" t="s">
        <v>1086</v>
      </c>
      <c r="B373" s="32" t="s">
        <v>1045</v>
      </c>
      <c r="C373" s="32" t="s">
        <v>973</v>
      </c>
      <c r="D373" s="33">
        <v>8</v>
      </c>
      <c r="E373" s="33">
        <v>22</v>
      </c>
      <c r="F373" s="34">
        <v>9</v>
      </c>
      <c r="G373" s="35" t="s">
        <v>1087</v>
      </c>
      <c r="H373" s="36" t="s">
        <v>1088</v>
      </c>
      <c r="I373" s="37">
        <v>30</v>
      </c>
      <c r="J373" s="37" t="s">
        <v>43</v>
      </c>
      <c r="K373" s="38">
        <v>0.85</v>
      </c>
      <c r="L373" s="44"/>
      <c r="M373" s="39">
        <f>SUMIFS([1]!Tabla6[SALIDA],[1]!Tabla6[CODIGO],[1]!Tabla2[[#This Row],[CODIGO]])</f>
        <v>3</v>
      </c>
      <c r="N373" s="39">
        <f>SUMIFS([1]!Tabla6[ENTRADA],[1]!Tabla6[CODIGO],[1]!Tabla2[[#This Row],[CODIGO]])</f>
        <v>0</v>
      </c>
      <c r="O373" s="40">
        <f>Tabla29[[#This Row],[DISP]]-Tabla29[[#This Row],[SALIDA]]+Tabla29[[#This Row],[ENTRADA]]</f>
        <v>27</v>
      </c>
      <c r="P373" s="116">
        <f>IFERROR(VLOOKUP([1]!Tabla2[[#This Row],[CODIGO]],[1]!Tabla6[[CODIGO]:[PRECIO VENTA]],9,0),0)</f>
        <v>0</v>
      </c>
      <c r="Q373" s="114">
        <f>IFERROR([1]!Tabla2[[#This Row],[PRECIO DETAL USD]]*0.8,0)</f>
        <v>5.84</v>
      </c>
      <c r="R373" s="115">
        <f>IFERROR([1]!Tabla2[[#This Row],[STOCK]]*[1]!Tabla2[[#This Row],[COSTO]],0)</f>
        <v>274.48</v>
      </c>
    </row>
    <row r="374" spans="1:18" ht="15" customHeight="1" x14ac:dyDescent="0.4">
      <c r="A374" s="41">
        <v>41</v>
      </c>
      <c r="B374" s="20"/>
      <c r="C374" s="21"/>
      <c r="D374" s="22"/>
      <c r="E374" s="22"/>
      <c r="F374" s="22"/>
      <c r="G374" s="23" t="s">
        <v>1089</v>
      </c>
      <c r="H374" s="24"/>
      <c r="I374" s="22"/>
      <c r="J374" s="25"/>
      <c r="K374" s="26" t="s">
        <v>20</v>
      </c>
      <c r="L374" s="22"/>
      <c r="M374" s="22"/>
      <c r="N374" s="22"/>
      <c r="O374" s="27" t="s">
        <v>21</v>
      </c>
      <c r="P374" s="116">
        <f>IFERROR(VLOOKUP([1]!Tabla2[[#This Row],[CODIGO]],[1]!Tabla6[[CODIGO]:[PRECIO VENTA]],9,0),0)</f>
        <v>0</v>
      </c>
      <c r="Q374" s="114">
        <f>IFERROR([1]!Tabla2[[#This Row],[PRECIO DETAL USD]]*0.8,0)</f>
        <v>13.600000000000001</v>
      </c>
      <c r="R374" s="115">
        <f>IFERROR([1]!Tabla2[[#This Row],[STOCK]]*[1]!Tabla2[[#This Row],[COSTO]],0)</f>
        <v>4025.6000000000004</v>
      </c>
    </row>
    <row r="375" spans="1:18" ht="15" customHeight="1" x14ac:dyDescent="0.35">
      <c r="A375" s="43" t="s">
        <v>1090</v>
      </c>
      <c r="B375" s="32" t="s">
        <v>1045</v>
      </c>
      <c r="C375" s="32" t="s">
        <v>973</v>
      </c>
      <c r="D375" s="33">
        <v>8</v>
      </c>
      <c r="E375" s="33">
        <v>22</v>
      </c>
      <c r="F375" s="34">
        <v>10</v>
      </c>
      <c r="G375" s="35" t="s">
        <v>1091</v>
      </c>
      <c r="H375" s="36" t="s">
        <v>1092</v>
      </c>
      <c r="I375" s="37">
        <v>100</v>
      </c>
      <c r="J375" s="37" t="s">
        <v>43</v>
      </c>
      <c r="K375" s="38">
        <v>2.8</v>
      </c>
      <c r="L375" s="38">
        <v>2.2000000000000002</v>
      </c>
      <c r="M375" s="39">
        <f>SUMIFS([1]!Tabla6[SALIDA],[1]!Tabla6[CODIGO],[1]!Tabla2[[#This Row],[CODIGO]])</f>
        <v>0</v>
      </c>
      <c r="N375" s="39">
        <f>SUMIFS([1]!Tabla6[ENTRADA],[1]!Tabla6[CODIGO],[1]!Tabla2[[#This Row],[CODIGO]])</f>
        <v>0</v>
      </c>
      <c r="O375" s="40">
        <f>Tabla29[[#This Row],[DISP]]-Tabla29[[#This Row],[SALIDA]]+Tabla29[[#This Row],[ENTRADA]]</f>
        <v>100</v>
      </c>
      <c r="P375" s="116">
        <f>IFERROR(VLOOKUP([1]!Tabla2[[#This Row],[CODIGO]],[1]!Tabla6[[CODIGO]:[PRECIO VENTA]],9,0),0)</f>
        <v>0</v>
      </c>
      <c r="Q375" s="114">
        <f>IFERROR([1]!Tabla2[[#This Row],[PRECIO DETAL USD]]*0.8,0)</f>
        <v>21.6</v>
      </c>
      <c r="R375" s="115">
        <f>IFERROR([1]!Tabla2[[#This Row],[STOCK]]*[1]!Tabla2[[#This Row],[COSTO]],0)</f>
        <v>3326.4</v>
      </c>
    </row>
    <row r="376" spans="1:18" ht="15" customHeight="1" x14ac:dyDescent="0.35">
      <c r="A376" s="43" t="s">
        <v>1093</v>
      </c>
      <c r="B376" s="32" t="s">
        <v>1045</v>
      </c>
      <c r="C376" s="32" t="s">
        <v>973</v>
      </c>
      <c r="D376" s="33">
        <v>8</v>
      </c>
      <c r="E376" s="33">
        <v>26</v>
      </c>
      <c r="F376" s="34">
        <v>1</v>
      </c>
      <c r="G376" s="35" t="s">
        <v>1094</v>
      </c>
      <c r="H376" s="36" t="s">
        <v>1095</v>
      </c>
      <c r="I376" s="37">
        <v>647</v>
      </c>
      <c r="J376" s="37" t="s">
        <v>43</v>
      </c>
      <c r="K376" s="38">
        <v>3</v>
      </c>
      <c r="L376" s="38">
        <v>2.6</v>
      </c>
      <c r="M376" s="39">
        <f>SUMIFS([1]!Tabla6[SALIDA],[1]!Tabla6[CODIGO],[1]!Tabla2[[#This Row],[CODIGO]])</f>
        <v>15</v>
      </c>
      <c r="N376" s="39">
        <f>SUMIFS([1]!Tabla6[ENTRADA],[1]!Tabla6[CODIGO],[1]!Tabla2[[#This Row],[CODIGO]])</f>
        <v>0</v>
      </c>
      <c r="O376" s="40">
        <f>Tabla29[[#This Row],[DISP]]-Tabla29[[#This Row],[SALIDA]]+Tabla29[[#This Row],[ENTRADA]]</f>
        <v>632</v>
      </c>
      <c r="P376" s="116">
        <f>IFERROR(VLOOKUP([1]!Tabla2[[#This Row],[CODIGO]],[1]!Tabla6[[CODIGO]:[PRECIO VENTA]],9,0),0)</f>
        <v>0</v>
      </c>
      <c r="Q376" s="114">
        <f>IFERROR([1]!Tabla2[[#This Row],[PRECIO DETAL USD]]*0.8,0)</f>
        <v>18.400000000000002</v>
      </c>
      <c r="R376" s="115">
        <f>IFERROR([1]!Tabla2[[#This Row],[STOCK]]*[1]!Tabla2[[#This Row],[COSTO]],0)</f>
        <v>1343.2</v>
      </c>
    </row>
    <row r="377" spans="1:18" ht="15" customHeight="1" x14ac:dyDescent="0.4">
      <c r="A377" s="41">
        <v>42</v>
      </c>
      <c r="B377" s="20"/>
      <c r="C377" s="21"/>
      <c r="D377" s="22"/>
      <c r="E377" s="22"/>
      <c r="F377" s="22"/>
      <c r="G377" s="23" t="s">
        <v>1096</v>
      </c>
      <c r="H377" s="24"/>
      <c r="I377" s="22"/>
      <c r="J377" s="25"/>
      <c r="K377" s="26" t="s">
        <v>20</v>
      </c>
      <c r="L377" s="22"/>
      <c r="M377" s="22"/>
      <c r="N377" s="22"/>
      <c r="O377" s="27" t="s">
        <v>21</v>
      </c>
      <c r="P377" s="116">
        <f>IFERROR(VLOOKUP([1]!Tabla2[[#This Row],[CODIGO]],[1]!Tabla6[[CODIGO]:[PRECIO VENTA]],9,0),0)</f>
        <v>0</v>
      </c>
      <c r="Q377" s="114">
        <f>IFERROR([1]!Tabla2[[#This Row],[PRECIO DETAL USD]]*0.8,0)</f>
        <v>18.400000000000002</v>
      </c>
      <c r="R377" s="115">
        <f>IFERROR([1]!Tabla2[[#This Row],[STOCK]]*[1]!Tabla2[[#This Row],[COSTO]],0)</f>
        <v>809.60000000000014</v>
      </c>
    </row>
    <row r="378" spans="1:18" ht="15" customHeight="1" x14ac:dyDescent="0.35">
      <c r="A378" s="43" t="s">
        <v>1097</v>
      </c>
      <c r="B378" s="32" t="s">
        <v>1045</v>
      </c>
      <c r="C378" s="32" t="s">
        <v>973</v>
      </c>
      <c r="D378" s="33">
        <v>8</v>
      </c>
      <c r="E378" s="33">
        <v>26</v>
      </c>
      <c r="F378" s="34">
        <v>2</v>
      </c>
      <c r="G378" s="35" t="s">
        <v>1098</v>
      </c>
      <c r="H378" s="36" t="s">
        <v>1099</v>
      </c>
      <c r="I378" s="37">
        <f>1975-1</f>
        <v>1974</v>
      </c>
      <c r="J378" s="37" t="s">
        <v>43</v>
      </c>
      <c r="K378" s="38">
        <v>1.3</v>
      </c>
      <c r="L378" s="38">
        <v>1.0900000000000001</v>
      </c>
      <c r="M378" s="39">
        <f>SUMIFS([1]!Tabla6[SALIDA],[1]!Tabla6[CODIGO],[1]!Tabla2[[#This Row],[CODIGO]])</f>
        <v>0</v>
      </c>
      <c r="N378" s="39">
        <f>SUMIFS([1]!Tabla6[ENTRADA],[1]!Tabla6[CODIGO],[1]!Tabla2[[#This Row],[CODIGO]])</f>
        <v>0</v>
      </c>
      <c r="O378" s="40">
        <f>Tabla29[[#This Row],[DISP]]-Tabla29[[#This Row],[SALIDA]]+Tabla29[[#This Row],[ENTRADA]]</f>
        <v>1974</v>
      </c>
      <c r="P378" s="116">
        <f>IFERROR(VLOOKUP([1]!Tabla2[[#This Row],[CODIGO]],[1]!Tabla6[[CODIGO]:[PRECIO VENTA]],9,0),0)</f>
        <v>0</v>
      </c>
      <c r="Q378" s="114">
        <f>IFERROR([1]!Tabla2[[#This Row],[PRECIO DETAL USD]]*0.8,0)</f>
        <v>21.6</v>
      </c>
      <c r="R378" s="115">
        <f>IFERROR([1]!Tabla2[[#This Row],[STOCK]]*[1]!Tabla2[[#This Row],[COSTO]],0)</f>
        <v>4320</v>
      </c>
    </row>
    <row r="379" spans="1:18" ht="15" customHeight="1" x14ac:dyDescent="0.35">
      <c r="A379" s="43" t="s">
        <v>1100</v>
      </c>
      <c r="B379" s="32" t="s">
        <v>1045</v>
      </c>
      <c r="C379" s="32" t="s">
        <v>973</v>
      </c>
      <c r="D379" s="33">
        <v>8</v>
      </c>
      <c r="E379" s="33">
        <v>28</v>
      </c>
      <c r="F379" s="34">
        <v>1</v>
      </c>
      <c r="G379" s="35" t="s">
        <v>1101</v>
      </c>
      <c r="H379" s="36" t="s">
        <v>1102</v>
      </c>
      <c r="I379" s="37">
        <v>500</v>
      </c>
      <c r="J379" s="37" t="s">
        <v>43</v>
      </c>
      <c r="K379" s="38">
        <v>2.9</v>
      </c>
      <c r="L379" s="38">
        <v>2.5</v>
      </c>
      <c r="M379" s="39">
        <f>SUMIFS([1]!Tabla6[SALIDA],[1]!Tabla6[CODIGO],[1]!Tabla2[[#This Row],[CODIGO]])</f>
        <v>0</v>
      </c>
      <c r="N379" s="39">
        <f>SUMIFS([1]!Tabla6[ENTRADA],[1]!Tabla6[CODIGO],[1]!Tabla2[[#This Row],[CODIGO]])</f>
        <v>0</v>
      </c>
      <c r="O379" s="40">
        <f>Tabla29[[#This Row],[DISP]]-Tabla29[[#This Row],[SALIDA]]+Tabla29[[#This Row],[ENTRADA]]</f>
        <v>500</v>
      </c>
      <c r="P379" s="116">
        <f>IFERROR(VLOOKUP([1]!Tabla2[[#This Row],[CODIGO]],[1]!Tabla6[[CODIGO]:[PRECIO VENTA]],9,0),0)</f>
        <v>0</v>
      </c>
      <c r="Q379" s="114">
        <f>IFERROR([1]!Tabla2[[#This Row],[PRECIO DETAL USD]]*0.8,0)</f>
        <v>29.6</v>
      </c>
      <c r="R379" s="115">
        <f>IFERROR([1]!Tabla2[[#This Row],[STOCK]]*[1]!Tabla2[[#This Row],[COSTO]],0)</f>
        <v>1776</v>
      </c>
    </row>
    <row r="380" spans="1:18" ht="15" customHeight="1" x14ac:dyDescent="0.4">
      <c r="A380" s="41">
        <v>43</v>
      </c>
      <c r="B380" s="20"/>
      <c r="C380" s="21"/>
      <c r="D380" s="22"/>
      <c r="E380" s="22"/>
      <c r="F380" s="22"/>
      <c r="G380" s="23" t="s">
        <v>1103</v>
      </c>
      <c r="H380" s="24"/>
      <c r="I380" s="22"/>
      <c r="J380" s="25"/>
      <c r="K380" s="26" t="s">
        <v>20</v>
      </c>
      <c r="L380" s="22"/>
      <c r="M380" s="22"/>
      <c r="N380" s="22"/>
      <c r="O380" s="27" t="s">
        <v>21</v>
      </c>
      <c r="P380" s="116">
        <f>IFERROR(VLOOKUP([1]!Tabla2[[#This Row],[CODIGO]],[1]!Tabla6[[CODIGO]:[PRECIO VENTA]],9,0),0)</f>
        <v>0</v>
      </c>
      <c r="Q380" s="114">
        <f>IFERROR([1]!Tabla2[[#This Row],[PRECIO DETAL USD]]*0.8,0)</f>
        <v>28</v>
      </c>
      <c r="R380" s="115">
        <f>IFERROR([1]!Tabla2[[#This Row],[STOCK]]*[1]!Tabla2[[#This Row],[COSTO]],0)</f>
        <v>2604</v>
      </c>
    </row>
    <row r="381" spans="1:18" ht="15" customHeight="1" x14ac:dyDescent="0.35">
      <c r="A381" s="43" t="s">
        <v>1104</v>
      </c>
      <c r="B381" s="32" t="s">
        <v>1045</v>
      </c>
      <c r="C381" s="32" t="s">
        <v>973</v>
      </c>
      <c r="D381" s="33">
        <v>8</v>
      </c>
      <c r="E381" s="33">
        <v>28</v>
      </c>
      <c r="F381" s="34">
        <v>2</v>
      </c>
      <c r="G381" s="35" t="s">
        <v>1105</v>
      </c>
      <c r="H381" s="36" t="s">
        <v>1106</v>
      </c>
      <c r="I381" s="37">
        <v>76</v>
      </c>
      <c r="J381" s="37" t="s">
        <v>43</v>
      </c>
      <c r="K381" s="38">
        <v>0.72</v>
      </c>
      <c r="L381" s="44"/>
      <c r="M381" s="39">
        <f>SUMIFS([1]!Tabla6[SALIDA],[1]!Tabla6[CODIGO],[1]!Tabla2[[#This Row],[CODIGO]])</f>
        <v>0</v>
      </c>
      <c r="N381" s="39">
        <f>SUMIFS([1]!Tabla6[ENTRADA],[1]!Tabla6[CODIGO],[1]!Tabla2[[#This Row],[CODIGO]])</f>
        <v>0</v>
      </c>
      <c r="O381" s="40">
        <f>Tabla29[[#This Row],[DISP]]-Tabla29[[#This Row],[SALIDA]]+Tabla29[[#This Row],[ENTRADA]]</f>
        <v>76</v>
      </c>
      <c r="P381" s="116">
        <f>IFERROR(VLOOKUP([1]!Tabla2[[#This Row],[CODIGO]],[1]!Tabla6[[CODIGO]:[PRECIO VENTA]],9,0),0)</f>
        <v>0</v>
      </c>
      <c r="Q381" s="114">
        <f>IFERROR([1]!Tabla2[[#This Row],[PRECIO DETAL USD]]*0.8,0)</f>
        <v>28</v>
      </c>
      <c r="R381" s="115">
        <f>IFERROR([1]!Tabla2[[#This Row],[STOCK]]*[1]!Tabla2[[#This Row],[COSTO]],0)</f>
        <v>280</v>
      </c>
    </row>
    <row r="382" spans="1:18" ht="15" customHeight="1" x14ac:dyDescent="0.35">
      <c r="A382" s="43" t="s">
        <v>1107</v>
      </c>
      <c r="B382" s="32" t="s">
        <v>1045</v>
      </c>
      <c r="C382" s="32" t="s">
        <v>973</v>
      </c>
      <c r="D382" s="33">
        <v>8</v>
      </c>
      <c r="E382" s="33">
        <v>28</v>
      </c>
      <c r="F382" s="34">
        <v>3</v>
      </c>
      <c r="G382" s="35" t="s">
        <v>1108</v>
      </c>
      <c r="H382" s="36" t="s">
        <v>1109</v>
      </c>
      <c r="I382" s="37">
        <v>739</v>
      </c>
      <c r="J382" s="37" t="s">
        <v>43</v>
      </c>
      <c r="K382" s="38">
        <v>0.73</v>
      </c>
      <c r="L382" s="44"/>
      <c r="M382" s="39">
        <f>SUMIFS([1]!Tabla6[SALIDA],[1]!Tabla6[CODIGO],[1]!Tabla2[[#This Row],[CODIGO]])</f>
        <v>0</v>
      </c>
      <c r="N382" s="39">
        <f>SUMIFS([1]!Tabla6[ENTRADA],[1]!Tabla6[CODIGO],[1]!Tabla2[[#This Row],[CODIGO]])</f>
        <v>0</v>
      </c>
      <c r="O382" s="40">
        <f>Tabla29[[#This Row],[DISP]]-Tabla29[[#This Row],[SALIDA]]+Tabla29[[#This Row],[ENTRADA]]</f>
        <v>739</v>
      </c>
      <c r="P382" s="116">
        <f>IFERROR(VLOOKUP([1]!Tabla2[[#This Row],[CODIGO]],[1]!Tabla6[[CODIGO]:[PRECIO VENTA]],9,0),0)</f>
        <v>0</v>
      </c>
      <c r="Q382" s="114">
        <f>IFERROR([1]!Tabla2[[#This Row],[PRECIO DETAL USD]]*0.8,0)</f>
        <v>0</v>
      </c>
      <c r="R382" s="115">
        <f>IFERROR([1]!Tabla2[[#This Row],[STOCK]]*[1]!Tabla2[[#This Row],[COSTO]],0)</f>
        <v>0</v>
      </c>
    </row>
    <row r="383" spans="1:18" ht="15" customHeight="1" x14ac:dyDescent="0.4">
      <c r="A383" s="41">
        <v>44</v>
      </c>
      <c r="B383" s="20"/>
      <c r="C383" s="21"/>
      <c r="D383" s="22"/>
      <c r="E383" s="22"/>
      <c r="F383" s="22"/>
      <c r="G383" s="23" t="s">
        <v>1110</v>
      </c>
      <c r="H383" s="24"/>
      <c r="I383" s="22"/>
      <c r="J383" s="25"/>
      <c r="K383" s="26" t="s">
        <v>20</v>
      </c>
      <c r="L383" s="22"/>
      <c r="M383" s="22"/>
      <c r="N383" s="22"/>
      <c r="O383" s="27" t="s">
        <v>21</v>
      </c>
      <c r="P383" s="116">
        <f>IFERROR(VLOOKUP([1]!Tabla2[[#This Row],[CODIGO]],[1]!Tabla6[[CODIGO]:[PRECIO VENTA]],9,0),0)</f>
        <v>0</v>
      </c>
      <c r="Q383" s="114">
        <f>IFERROR([1]!Tabla2[[#This Row],[PRECIO DETAL USD]]*0.8,0)</f>
        <v>6.4</v>
      </c>
      <c r="R383" s="115">
        <f>IFERROR([1]!Tabla2[[#This Row],[STOCK]]*[1]!Tabla2[[#This Row],[COSTO]],0)</f>
        <v>5600</v>
      </c>
    </row>
    <row r="384" spans="1:18" ht="15" customHeight="1" x14ac:dyDescent="0.35">
      <c r="A384" s="43" t="s">
        <v>1111</v>
      </c>
      <c r="B384" s="32" t="s">
        <v>1045</v>
      </c>
      <c r="C384" s="32" t="s">
        <v>973</v>
      </c>
      <c r="D384" s="33">
        <v>8</v>
      </c>
      <c r="E384" s="33">
        <v>28</v>
      </c>
      <c r="F384" s="34">
        <v>4</v>
      </c>
      <c r="G384" s="35" t="s">
        <v>1112</v>
      </c>
      <c r="H384" s="36" t="s">
        <v>1113</v>
      </c>
      <c r="I384" s="37">
        <v>2264</v>
      </c>
      <c r="J384" s="37" t="s">
        <v>43</v>
      </c>
      <c r="K384" s="38">
        <v>1.8</v>
      </c>
      <c r="L384" s="38">
        <v>1.25</v>
      </c>
      <c r="M384" s="39">
        <f>SUMIFS([1]!Tabla6[SALIDA],[1]!Tabla6[CODIGO],[1]!Tabla2[[#This Row],[CODIGO]])</f>
        <v>2</v>
      </c>
      <c r="N384" s="39">
        <f>SUMIFS([1]!Tabla6[ENTRADA],[1]!Tabla6[CODIGO],[1]!Tabla2[[#This Row],[CODIGO]])</f>
        <v>0</v>
      </c>
      <c r="O384" s="40">
        <f>Tabla29[[#This Row],[DISP]]-Tabla29[[#This Row],[SALIDA]]+Tabla29[[#This Row],[ENTRADA]]</f>
        <v>2262</v>
      </c>
      <c r="P384" s="116">
        <f>IFERROR(VLOOKUP([1]!Tabla2[[#This Row],[CODIGO]],[1]!Tabla6[[CODIGO]:[PRECIO VENTA]],9,0),0)</f>
        <v>0</v>
      </c>
      <c r="Q384" s="114">
        <f>IFERROR([1]!Tabla2[[#This Row],[PRECIO DETAL USD]]*0.8,0)</f>
        <v>6</v>
      </c>
      <c r="R384" s="115">
        <f>IFERROR([1]!Tabla2[[#This Row],[STOCK]]*[1]!Tabla2[[#This Row],[COSTO]],0)</f>
        <v>396</v>
      </c>
    </row>
    <row r="385" spans="1:18" ht="15" customHeight="1" x14ac:dyDescent="0.35">
      <c r="A385" s="43" t="s">
        <v>1114</v>
      </c>
      <c r="B385" s="32" t="s">
        <v>1045</v>
      </c>
      <c r="C385" s="32" t="s">
        <v>973</v>
      </c>
      <c r="D385" s="33">
        <v>8</v>
      </c>
      <c r="E385" s="33">
        <v>28</v>
      </c>
      <c r="F385" s="34">
        <v>5</v>
      </c>
      <c r="G385" s="35" t="s">
        <v>1115</v>
      </c>
      <c r="H385" s="36" t="s">
        <v>1116</v>
      </c>
      <c r="I385" s="37">
        <v>851</v>
      </c>
      <c r="J385" s="37" t="s">
        <v>43</v>
      </c>
      <c r="K385" s="38">
        <v>4.5</v>
      </c>
      <c r="L385" s="38">
        <v>3.9</v>
      </c>
      <c r="M385" s="39">
        <f>SUMIFS([1]!Tabla6[SALIDA],[1]!Tabla6[CODIGO],[1]!Tabla2[[#This Row],[CODIGO]])</f>
        <v>18</v>
      </c>
      <c r="N385" s="39">
        <f>SUMIFS([1]!Tabla6[ENTRADA],[1]!Tabla6[CODIGO],[1]!Tabla2[[#This Row],[CODIGO]])</f>
        <v>0</v>
      </c>
      <c r="O385" s="40">
        <f>Tabla29[[#This Row],[DISP]]-Tabla29[[#This Row],[SALIDA]]+Tabla29[[#This Row],[ENTRADA]]</f>
        <v>833</v>
      </c>
      <c r="P385" s="116">
        <f>IFERROR(VLOOKUP([1]!Tabla2[[#This Row],[CODIGO]],[1]!Tabla6[[CODIGO]:[PRECIO VENTA]],9,0),0)</f>
        <v>0</v>
      </c>
      <c r="Q385" s="114">
        <f>IFERROR([1]!Tabla2[[#This Row],[PRECIO DETAL USD]]*0.8,0)</f>
        <v>6.4</v>
      </c>
      <c r="R385" s="115">
        <f>IFERROR([1]!Tabla2[[#This Row],[STOCK]]*[1]!Tabla2[[#This Row],[COSTO]],0)</f>
        <v>793.6</v>
      </c>
    </row>
    <row r="386" spans="1:18" ht="15" customHeight="1" x14ac:dyDescent="0.35">
      <c r="A386" s="43" t="s">
        <v>1117</v>
      </c>
      <c r="B386" s="32" t="s">
        <v>1045</v>
      </c>
      <c r="C386" s="32" t="s">
        <v>973</v>
      </c>
      <c r="D386" s="33">
        <v>8</v>
      </c>
      <c r="E386" s="33">
        <v>30</v>
      </c>
      <c r="F386" s="34">
        <v>1</v>
      </c>
      <c r="G386" s="35" t="s">
        <v>1118</v>
      </c>
      <c r="H386" s="36" t="s">
        <v>1119</v>
      </c>
      <c r="I386" s="37">
        <v>360</v>
      </c>
      <c r="J386" s="37" t="s">
        <v>43</v>
      </c>
      <c r="K386" s="38">
        <v>0.45</v>
      </c>
      <c r="L386" s="38">
        <v>0.35</v>
      </c>
      <c r="M386" s="39">
        <f>SUMIFS([1]!Tabla6[SALIDA],[1]!Tabla6[CODIGO],[1]!Tabla2[[#This Row],[CODIGO]])</f>
        <v>0</v>
      </c>
      <c r="N386" s="39">
        <f>SUMIFS([1]!Tabla6[ENTRADA],[1]!Tabla6[CODIGO],[1]!Tabla2[[#This Row],[CODIGO]])</f>
        <v>0</v>
      </c>
      <c r="O386" s="40">
        <f>Tabla29[[#This Row],[DISP]]-Tabla29[[#This Row],[SALIDA]]+Tabla29[[#This Row],[ENTRADA]]</f>
        <v>360</v>
      </c>
      <c r="P386" s="116">
        <f>IFERROR(VLOOKUP([1]!Tabla2[[#This Row],[CODIGO]],[1]!Tabla6[[CODIGO]:[PRECIO VENTA]],9,0),0)</f>
        <v>0</v>
      </c>
      <c r="Q386" s="114">
        <f>IFERROR([1]!Tabla2[[#This Row],[PRECIO DETAL USD]]*0.8,0)</f>
        <v>6.4</v>
      </c>
      <c r="R386" s="115">
        <f>IFERROR([1]!Tabla2[[#This Row],[STOCK]]*[1]!Tabla2[[#This Row],[COSTO]],0)</f>
        <v>1497.6000000000001</v>
      </c>
    </row>
    <row r="387" spans="1:18" ht="15" customHeight="1" x14ac:dyDescent="0.35">
      <c r="A387" s="43" t="s">
        <v>1120</v>
      </c>
      <c r="B387" s="32" t="s">
        <v>1045</v>
      </c>
      <c r="C387" s="32" t="s">
        <v>973</v>
      </c>
      <c r="D387" s="33">
        <v>8</v>
      </c>
      <c r="E387" s="33">
        <v>30</v>
      </c>
      <c r="F387" s="34">
        <v>2</v>
      </c>
      <c r="G387" s="35" t="s">
        <v>1121</v>
      </c>
      <c r="H387" s="36" t="s">
        <v>1122</v>
      </c>
      <c r="I387" s="37">
        <v>33</v>
      </c>
      <c r="J387" s="37" t="s">
        <v>43</v>
      </c>
      <c r="K387" s="38">
        <v>0.35</v>
      </c>
      <c r="L387" s="38"/>
      <c r="M387" s="39">
        <f>SUMIFS([1]!Tabla6[SALIDA],[1]!Tabla6[CODIGO],[1]!Tabla2[[#This Row],[CODIGO]])</f>
        <v>26</v>
      </c>
      <c r="N387" s="39">
        <f>SUMIFS([1]!Tabla6[ENTRADA],[1]!Tabla6[CODIGO],[1]!Tabla2[[#This Row],[CODIGO]])</f>
        <v>0</v>
      </c>
      <c r="O387" s="40">
        <f>Tabla29[[#This Row],[DISP]]-Tabla29[[#This Row],[SALIDA]]+Tabla29[[#This Row],[ENTRADA]]</f>
        <v>7</v>
      </c>
      <c r="P387" s="116">
        <f>IFERROR(VLOOKUP([1]!Tabla2[[#This Row],[CODIGO]],[1]!Tabla6[[CODIGO]:[PRECIO VENTA]],9,0),0)</f>
        <v>0</v>
      </c>
      <c r="Q387" s="114">
        <f>IFERROR([1]!Tabla2[[#This Row],[PRECIO DETAL USD]]*0.8,0)</f>
        <v>4.8000000000000007</v>
      </c>
      <c r="R387" s="115">
        <f>IFERROR([1]!Tabla2[[#This Row],[STOCK]]*[1]!Tabla2[[#This Row],[COSTO]],0)</f>
        <v>1075.2000000000003</v>
      </c>
    </row>
    <row r="388" spans="1:18" ht="15" customHeight="1" x14ac:dyDescent="0.35">
      <c r="A388" s="43" t="s">
        <v>1123</v>
      </c>
      <c r="B388" s="32" t="s">
        <v>1045</v>
      </c>
      <c r="C388" s="32" t="s">
        <v>973</v>
      </c>
      <c r="D388" s="33">
        <v>8</v>
      </c>
      <c r="E388" s="33">
        <v>30</v>
      </c>
      <c r="F388" s="34">
        <v>3</v>
      </c>
      <c r="G388" s="35" t="s">
        <v>1124</v>
      </c>
      <c r="H388" s="36" t="s">
        <v>1125</v>
      </c>
      <c r="I388" s="37">
        <v>44</v>
      </c>
      <c r="J388" s="37" t="s">
        <v>43</v>
      </c>
      <c r="K388" s="38">
        <v>4.5</v>
      </c>
      <c r="L388" s="38">
        <v>3.5</v>
      </c>
      <c r="M388" s="39">
        <f>SUMIFS([1]!Tabla6[SALIDA],[1]!Tabla6[CODIGO],[1]!Tabla2[[#This Row],[CODIGO]])</f>
        <v>10</v>
      </c>
      <c r="N388" s="39">
        <f>SUMIFS([1]!Tabla6[ENTRADA],[1]!Tabla6[CODIGO],[1]!Tabla2[[#This Row],[CODIGO]])</f>
        <v>0</v>
      </c>
      <c r="O388" s="40">
        <f>Tabla29[[#This Row],[DISP]]-Tabla29[[#This Row],[SALIDA]]+Tabla29[[#This Row],[ENTRADA]]</f>
        <v>34</v>
      </c>
      <c r="P388" s="116">
        <f>IFERROR(VLOOKUP([1]!Tabla2[[#This Row],[CODIGO]],[1]!Tabla6[[CODIGO]:[PRECIO VENTA]],9,0),0)</f>
        <v>0</v>
      </c>
      <c r="Q388" s="114">
        <f>IFERROR([1]!Tabla2[[#This Row],[PRECIO DETAL USD]]*0.8,0)</f>
        <v>4.16</v>
      </c>
      <c r="R388" s="115">
        <f>IFERROR([1]!Tabla2[[#This Row],[STOCK]]*[1]!Tabla2[[#This Row],[COSTO]],0)</f>
        <v>0</v>
      </c>
    </row>
    <row r="389" spans="1:18" ht="15" customHeight="1" x14ac:dyDescent="0.35">
      <c r="A389" s="43" t="s">
        <v>1126</v>
      </c>
      <c r="B389" s="32" t="s">
        <v>1045</v>
      </c>
      <c r="C389" s="32" t="s">
        <v>973</v>
      </c>
      <c r="D389" s="33">
        <v>8</v>
      </c>
      <c r="E389" s="33">
        <v>30</v>
      </c>
      <c r="F389" s="34">
        <v>4</v>
      </c>
      <c r="G389" s="35" t="s">
        <v>1127</v>
      </c>
      <c r="H389" s="36" t="s">
        <v>1128</v>
      </c>
      <c r="I389" s="37">
        <v>275</v>
      </c>
      <c r="J389" s="37" t="s">
        <v>43</v>
      </c>
      <c r="K389" s="38">
        <v>4.5</v>
      </c>
      <c r="L389" s="38">
        <v>3.2</v>
      </c>
      <c r="M389" s="39">
        <f>SUMIFS([1]!Tabla6[SALIDA],[1]!Tabla6[CODIGO],[1]!Tabla2[[#This Row],[CODIGO]])</f>
        <v>13</v>
      </c>
      <c r="N389" s="39">
        <f>SUMIFS([1]!Tabla6[ENTRADA],[1]!Tabla6[CODIGO],[1]!Tabla2[[#This Row],[CODIGO]])</f>
        <v>0</v>
      </c>
      <c r="O389" s="40">
        <f>Tabla29[[#This Row],[DISP]]-Tabla29[[#This Row],[SALIDA]]+Tabla29[[#This Row],[ENTRADA]]</f>
        <v>262</v>
      </c>
      <c r="P389" s="116">
        <f>IFERROR(VLOOKUP([1]!Tabla2[[#This Row],[CODIGO]],[1]!Tabla6[[CODIGO]:[PRECIO VENTA]],9,0),0)</f>
        <v>0</v>
      </c>
      <c r="Q389" s="114">
        <f>IFERROR([1]!Tabla2[[#This Row],[PRECIO DETAL USD]]*0.8,0)</f>
        <v>5.2</v>
      </c>
      <c r="R389" s="115">
        <f>IFERROR([1]!Tabla2[[#This Row],[STOCK]]*[1]!Tabla2[[#This Row],[COSTO]],0)</f>
        <v>2537.6</v>
      </c>
    </row>
    <row r="390" spans="1:18" ht="15" customHeight="1" x14ac:dyDescent="0.35">
      <c r="A390" s="43" t="s">
        <v>1129</v>
      </c>
      <c r="B390" s="32" t="s">
        <v>1045</v>
      </c>
      <c r="C390" s="32" t="s">
        <v>973</v>
      </c>
      <c r="D390" s="33">
        <v>8</v>
      </c>
      <c r="E390" s="33">
        <v>30</v>
      </c>
      <c r="F390" s="34">
        <v>5</v>
      </c>
      <c r="G390" s="35" t="s">
        <v>1130</v>
      </c>
      <c r="H390" s="36" t="s">
        <v>1131</v>
      </c>
      <c r="I390" s="37">
        <v>76</v>
      </c>
      <c r="J390" s="37" t="s">
        <v>43</v>
      </c>
      <c r="K390" s="38">
        <v>13</v>
      </c>
      <c r="L390" s="38">
        <v>8.9</v>
      </c>
      <c r="M390" s="39">
        <f>SUMIFS([1]!Tabla6[SALIDA],[1]!Tabla6[CODIGO],[1]!Tabla2[[#This Row],[CODIGO]])</f>
        <v>5</v>
      </c>
      <c r="N390" s="39">
        <f>SUMIFS([1]!Tabla6[ENTRADA],[1]!Tabla6[CODIGO],[1]!Tabla2[[#This Row],[CODIGO]])</f>
        <v>0</v>
      </c>
      <c r="O390" s="40">
        <f>Tabla29[[#This Row],[DISP]]-Tabla29[[#This Row],[SALIDA]]+Tabla29[[#This Row],[ENTRADA]]</f>
        <v>71</v>
      </c>
      <c r="P390" s="116">
        <f>IFERROR(VLOOKUP([1]!Tabla2[[#This Row],[CODIGO]],[1]!Tabla6[[CODIGO]:[PRECIO VENTA]],9,0),0)</f>
        <v>0</v>
      </c>
      <c r="Q390" s="114">
        <f>IFERROR([1]!Tabla2[[#This Row],[PRECIO DETAL USD]]*0.8,0)</f>
        <v>10.4</v>
      </c>
      <c r="R390" s="115">
        <f>IFERROR([1]!Tabla2[[#This Row],[STOCK]]*[1]!Tabla2[[#This Row],[COSTO]],0)</f>
        <v>52</v>
      </c>
    </row>
    <row r="391" spans="1:18" ht="15" customHeight="1" x14ac:dyDescent="0.4">
      <c r="A391" s="41">
        <v>45</v>
      </c>
      <c r="B391" s="20"/>
      <c r="C391" s="21"/>
      <c r="D391" s="22"/>
      <c r="E391" s="22"/>
      <c r="F391" s="22"/>
      <c r="G391" s="23" t="s">
        <v>1132</v>
      </c>
      <c r="H391" s="24"/>
      <c r="I391" s="22"/>
      <c r="J391" s="25"/>
      <c r="K391" s="26" t="s">
        <v>20</v>
      </c>
      <c r="L391" s="22"/>
      <c r="M391" s="22"/>
      <c r="N391" s="22"/>
      <c r="O391" s="27" t="s">
        <v>21</v>
      </c>
      <c r="P391" s="116">
        <f>IFERROR(VLOOKUP([1]!Tabla2[[#This Row],[CODIGO]],[1]!Tabla6[[CODIGO]:[PRECIO VENTA]],9,0),0)</f>
        <v>0</v>
      </c>
      <c r="Q391" s="114">
        <f>IFERROR([1]!Tabla2[[#This Row],[PRECIO DETAL USD]]*0.8,0)</f>
        <v>6.4</v>
      </c>
      <c r="R391" s="115">
        <f>IFERROR([1]!Tabla2[[#This Row],[STOCK]]*[1]!Tabla2[[#This Row],[COSTO]],0)</f>
        <v>64</v>
      </c>
    </row>
    <row r="392" spans="1:18" ht="15" customHeight="1" x14ac:dyDescent="0.35">
      <c r="A392" s="43" t="s">
        <v>1133</v>
      </c>
      <c r="B392" s="32" t="s">
        <v>1045</v>
      </c>
      <c r="C392" s="32" t="s">
        <v>973</v>
      </c>
      <c r="D392" s="33">
        <v>8</v>
      </c>
      <c r="E392" s="33">
        <v>31</v>
      </c>
      <c r="F392" s="34">
        <v>1</v>
      </c>
      <c r="G392" s="35" t="s">
        <v>1134</v>
      </c>
      <c r="H392" s="36" t="s">
        <v>1135</v>
      </c>
      <c r="I392" s="37">
        <v>4303</v>
      </c>
      <c r="J392" s="37" t="s">
        <v>43</v>
      </c>
      <c r="K392" s="38">
        <v>0.3</v>
      </c>
      <c r="L392" s="38">
        <v>0.18</v>
      </c>
      <c r="M392" s="39">
        <f>SUMIFS([1]!Tabla6[SALIDA],[1]!Tabla6[CODIGO],[1]!Tabla2[[#This Row],[CODIGO]])</f>
        <v>14</v>
      </c>
      <c r="N392" s="39">
        <f>SUMIFS([1]!Tabla6[ENTRADA],[1]!Tabla6[CODIGO],[1]!Tabla2[[#This Row],[CODIGO]])</f>
        <v>0</v>
      </c>
      <c r="O392" s="40">
        <f>Tabla29[[#This Row],[DISP]]-Tabla29[[#This Row],[SALIDA]]+Tabla29[[#This Row],[ENTRADA]]</f>
        <v>4289</v>
      </c>
      <c r="P392" s="116">
        <f>IFERROR(VLOOKUP([1]!Tabla2[[#This Row],[CODIGO]],[1]!Tabla6[[CODIGO]:[PRECIO VENTA]],9,0),0)</f>
        <v>0</v>
      </c>
      <c r="Q392" s="114">
        <f>IFERROR([1]!Tabla2[[#This Row],[PRECIO DETAL USD]]*0.8,0)</f>
        <v>6</v>
      </c>
      <c r="R392" s="115">
        <f>IFERROR([1]!Tabla2[[#This Row],[STOCK]]*[1]!Tabla2[[#This Row],[COSTO]],0)</f>
        <v>2316</v>
      </c>
    </row>
    <row r="393" spans="1:18" ht="15" customHeight="1" x14ac:dyDescent="0.35">
      <c r="A393" s="43" t="s">
        <v>1136</v>
      </c>
      <c r="B393" s="32" t="s">
        <v>1045</v>
      </c>
      <c r="C393" s="32" t="s">
        <v>973</v>
      </c>
      <c r="D393" s="33">
        <v>8</v>
      </c>
      <c r="E393" s="33">
        <v>31</v>
      </c>
      <c r="F393" s="34">
        <v>2</v>
      </c>
      <c r="G393" s="35" t="s">
        <v>1137</v>
      </c>
      <c r="H393" s="36" t="s">
        <v>1138</v>
      </c>
      <c r="I393" s="37">
        <v>2592</v>
      </c>
      <c r="J393" s="37" t="s">
        <v>43</v>
      </c>
      <c r="K393" s="38">
        <v>0.6</v>
      </c>
      <c r="L393" s="38">
        <v>0.12</v>
      </c>
      <c r="M393" s="39">
        <f>SUMIFS([1]!Tabla6[SALIDA],[1]!Tabla6[CODIGO],[1]!Tabla2[[#This Row],[CODIGO]])</f>
        <v>3</v>
      </c>
      <c r="N393" s="39">
        <f>SUMIFS([1]!Tabla6[ENTRADA],[1]!Tabla6[CODIGO],[1]!Tabla2[[#This Row],[CODIGO]])</f>
        <v>0</v>
      </c>
      <c r="O393" s="40">
        <f>Tabla29[[#This Row],[DISP]]-Tabla29[[#This Row],[SALIDA]]+Tabla29[[#This Row],[ENTRADA]]</f>
        <v>2589</v>
      </c>
      <c r="P393" s="116">
        <f>IFERROR(VLOOKUP([1]!Tabla2[[#This Row],[CODIGO]],[1]!Tabla6[[CODIGO]:[PRECIO VENTA]],9,0),0)</f>
        <v>0</v>
      </c>
      <c r="Q393" s="114">
        <f>IFERROR([1]!Tabla2[[#This Row],[PRECIO DETAL USD]]*0.8,0)</f>
        <v>6.4</v>
      </c>
      <c r="R393" s="115">
        <f>IFERROR([1]!Tabla2[[#This Row],[STOCK]]*[1]!Tabla2[[#This Row],[COSTO]],0)</f>
        <v>1862.4</v>
      </c>
    </row>
    <row r="394" spans="1:18" ht="15" customHeight="1" x14ac:dyDescent="0.35">
      <c r="A394" s="43" t="s">
        <v>1139</v>
      </c>
      <c r="B394" s="32" t="s">
        <v>1140</v>
      </c>
      <c r="C394" s="32" t="s">
        <v>973</v>
      </c>
      <c r="D394" s="33">
        <v>9</v>
      </c>
      <c r="E394" s="33">
        <v>20</v>
      </c>
      <c r="F394" s="34">
        <v>1</v>
      </c>
      <c r="G394" s="35" t="s">
        <v>1141</v>
      </c>
      <c r="H394" s="36" t="s">
        <v>1142</v>
      </c>
      <c r="I394" s="37">
        <v>624</v>
      </c>
      <c r="J394" s="37" t="s">
        <v>43</v>
      </c>
      <c r="K394" s="38">
        <v>0.8</v>
      </c>
      <c r="L394" s="38">
        <v>0.22</v>
      </c>
      <c r="M394" s="39">
        <f>SUMIFS([1]!Tabla6[SALIDA],[1]!Tabla6[CODIGO],[1]!Tabla2[[#This Row],[CODIGO]])</f>
        <v>0</v>
      </c>
      <c r="N394" s="39">
        <f>SUMIFS([1]!Tabla6[ENTRADA],[1]!Tabla6[CODIGO],[1]!Tabla2[[#This Row],[CODIGO]])</f>
        <v>0</v>
      </c>
      <c r="O394" s="40">
        <f>Tabla29[[#This Row],[DISP]]-Tabla29[[#This Row],[SALIDA]]+Tabla29[[#This Row],[ENTRADA]]</f>
        <v>624</v>
      </c>
      <c r="P394" s="116">
        <f>IFERROR(VLOOKUP([1]!Tabla2[[#This Row],[CODIGO]],[1]!Tabla6[[CODIGO]:[PRECIO VENTA]],9,0),0)</f>
        <v>0</v>
      </c>
      <c r="Q394" s="114">
        <f>IFERROR([1]!Tabla2[[#This Row],[PRECIO DETAL USD]]*0.8,0)</f>
        <v>8.4</v>
      </c>
      <c r="R394" s="115">
        <f>IFERROR([1]!Tabla2[[#This Row],[STOCK]]*[1]!Tabla2[[#This Row],[COSTO]],0)</f>
        <v>0</v>
      </c>
    </row>
    <row r="395" spans="1:18" ht="15" customHeight="1" x14ac:dyDescent="0.35">
      <c r="A395" s="43" t="s">
        <v>1143</v>
      </c>
      <c r="B395" s="32" t="s">
        <v>1140</v>
      </c>
      <c r="C395" s="32" t="s">
        <v>973</v>
      </c>
      <c r="D395" s="33">
        <v>9</v>
      </c>
      <c r="E395" s="33">
        <v>23</v>
      </c>
      <c r="F395" s="34">
        <v>1</v>
      </c>
      <c r="G395" s="35" t="s">
        <v>1144</v>
      </c>
      <c r="H395" s="36" t="s">
        <v>1145</v>
      </c>
      <c r="I395" s="37">
        <v>3770</v>
      </c>
      <c r="J395" s="37" t="s">
        <v>43</v>
      </c>
      <c r="K395" s="38">
        <v>1.3</v>
      </c>
      <c r="L395" s="38">
        <v>1.04</v>
      </c>
      <c r="M395" s="39">
        <f>SUMIFS([1]!Tabla6[SALIDA],[1]!Tabla6[CODIGO],[1]!Tabla2[[#This Row],[CODIGO]])</f>
        <v>99</v>
      </c>
      <c r="N395" s="39">
        <f>SUMIFS([1]!Tabla6[ENTRADA],[1]!Tabla6[CODIGO],[1]!Tabla2[[#This Row],[CODIGO]])</f>
        <v>4</v>
      </c>
      <c r="O395" s="40">
        <f>Tabla29[[#This Row],[DISP]]-Tabla29[[#This Row],[SALIDA]]+Tabla29[[#This Row],[ENTRADA]]</f>
        <v>3675</v>
      </c>
      <c r="P395" s="116">
        <f>IFERROR(VLOOKUP([1]!Tabla2[[#This Row],[CODIGO]],[1]!Tabla6[[CODIGO]:[PRECIO VENTA]],9,0),0)</f>
        <v>0</v>
      </c>
      <c r="Q395" s="114">
        <f>IFERROR([1]!Tabla2[[#This Row],[PRECIO DETAL USD]]*0.8,0)</f>
        <v>7.9200000000000008</v>
      </c>
      <c r="R395" s="115">
        <f>IFERROR([1]!Tabla2[[#This Row],[STOCK]]*[1]!Tabla2[[#This Row],[COSTO]],0)</f>
        <v>0</v>
      </c>
    </row>
    <row r="396" spans="1:18" ht="15" customHeight="1" x14ac:dyDescent="0.35">
      <c r="A396" s="43" t="s">
        <v>1146</v>
      </c>
      <c r="B396" s="32" t="s">
        <v>1140</v>
      </c>
      <c r="C396" s="32" t="s">
        <v>973</v>
      </c>
      <c r="D396" s="33">
        <v>9</v>
      </c>
      <c r="E396" s="33">
        <v>23</v>
      </c>
      <c r="F396" s="34">
        <v>2</v>
      </c>
      <c r="G396" s="35" t="s">
        <v>1147</v>
      </c>
      <c r="H396" s="36" t="s">
        <v>1148</v>
      </c>
      <c r="I396" s="37">
        <v>2395</v>
      </c>
      <c r="J396" s="37" t="s">
        <v>43</v>
      </c>
      <c r="K396" s="38">
        <v>0.6</v>
      </c>
      <c r="L396" s="38">
        <v>0.45</v>
      </c>
      <c r="M396" s="39">
        <f>SUMIFS([1]!Tabla6[SALIDA],[1]!Tabla6[CODIGO],[1]!Tabla2[[#This Row],[CODIGO]])</f>
        <v>11</v>
      </c>
      <c r="N396" s="39">
        <f>SUMIFS([1]!Tabla6[ENTRADA],[1]!Tabla6[CODIGO],[1]!Tabla2[[#This Row],[CODIGO]])</f>
        <v>210</v>
      </c>
      <c r="O396" s="40">
        <f>Tabla29[[#This Row],[DISP]]-Tabla29[[#This Row],[SALIDA]]+Tabla29[[#This Row],[ENTRADA]]</f>
        <v>2594</v>
      </c>
      <c r="P396" s="116">
        <f>IFERROR(VLOOKUP([1]!Tabla2[[#This Row],[CODIGO]],[1]!Tabla6[[CODIGO]:[PRECIO VENTA]],9,0),0)</f>
        <v>0</v>
      </c>
      <c r="Q396" s="114">
        <f>IFERROR([1]!Tabla2[[#This Row],[PRECIO DETAL USD]]*0.8,0)</f>
        <v>6.8000000000000007</v>
      </c>
      <c r="R396" s="115">
        <f>IFERROR([1]!Tabla2[[#This Row],[STOCK]]*[1]!Tabla2[[#This Row],[COSTO]],0)</f>
        <v>1428.0000000000002</v>
      </c>
    </row>
    <row r="397" spans="1:18" ht="15" customHeight="1" x14ac:dyDescent="0.35">
      <c r="A397" s="43" t="s">
        <v>1149</v>
      </c>
      <c r="B397" s="32" t="s">
        <v>1140</v>
      </c>
      <c r="C397" s="32" t="s">
        <v>973</v>
      </c>
      <c r="D397" s="33">
        <v>9</v>
      </c>
      <c r="E397" s="33">
        <v>23</v>
      </c>
      <c r="F397" s="34">
        <v>3</v>
      </c>
      <c r="G397" s="35" t="s">
        <v>1150</v>
      </c>
      <c r="H397" s="36" t="s">
        <v>1151</v>
      </c>
      <c r="I397" s="37">
        <v>500</v>
      </c>
      <c r="J397" s="37" t="s">
        <v>43</v>
      </c>
      <c r="K397" s="38">
        <v>0.6</v>
      </c>
      <c r="L397" s="38">
        <v>0.45</v>
      </c>
      <c r="M397" s="39">
        <f>SUMIFS([1]!Tabla6[SALIDA],[1]!Tabla6[CODIGO],[1]!Tabla2[[#This Row],[CODIGO]])</f>
        <v>52</v>
      </c>
      <c r="N397" s="39">
        <f>SUMIFS([1]!Tabla6[ENTRADA],[1]!Tabla6[CODIGO],[1]!Tabla2[[#This Row],[CODIGO]])</f>
        <v>106</v>
      </c>
      <c r="O397" s="40">
        <f>Tabla29[[#This Row],[DISP]]-Tabla29[[#This Row],[SALIDA]]+Tabla29[[#This Row],[ENTRADA]]</f>
        <v>554</v>
      </c>
      <c r="P397" s="116">
        <f>IFERROR(VLOOKUP([1]!Tabla2[[#This Row],[CODIGO]],[1]!Tabla6[[CODIGO]:[PRECIO VENTA]],9,0),0)</f>
        <v>0</v>
      </c>
      <c r="Q397" s="114">
        <f>IFERROR([1]!Tabla2[[#This Row],[PRECIO DETAL USD]]*0.8,0)</f>
        <v>15.600000000000001</v>
      </c>
      <c r="R397" s="115">
        <f>IFERROR([1]!Tabla2[[#This Row],[STOCK]]*[1]!Tabla2[[#This Row],[COSTO]],0)</f>
        <v>936.00000000000011</v>
      </c>
    </row>
    <row r="398" spans="1:18" ht="15" customHeight="1" x14ac:dyDescent="0.4">
      <c r="A398" s="41">
        <v>46</v>
      </c>
      <c r="B398" s="20"/>
      <c r="C398" s="21"/>
      <c r="D398" s="22"/>
      <c r="E398" s="22"/>
      <c r="F398" s="22"/>
      <c r="G398" s="23" t="s">
        <v>1152</v>
      </c>
      <c r="H398" s="24"/>
      <c r="I398" s="22"/>
      <c r="J398" s="25"/>
      <c r="K398" s="26" t="s">
        <v>20</v>
      </c>
      <c r="L398" s="22"/>
      <c r="M398" s="22"/>
      <c r="N398" s="22"/>
      <c r="O398" s="27" t="s">
        <v>21</v>
      </c>
      <c r="P398" s="116">
        <f>IFERROR(VLOOKUP([1]!Tabla2[[#This Row],[CODIGO]],[1]!Tabla6[[CODIGO]:[PRECIO VENTA]],9,0),0)</f>
        <v>0</v>
      </c>
      <c r="Q398" s="114">
        <f>IFERROR([1]!Tabla2[[#This Row],[PRECIO DETAL USD]]*0.8,0)</f>
        <v>28</v>
      </c>
      <c r="R398" s="115">
        <f>IFERROR([1]!Tabla2[[#This Row],[STOCK]]*[1]!Tabla2[[#This Row],[COSTO]],0)</f>
        <v>10780</v>
      </c>
    </row>
    <row r="399" spans="1:18" ht="15" customHeight="1" x14ac:dyDescent="0.35">
      <c r="A399" s="43" t="s">
        <v>1153</v>
      </c>
      <c r="B399" s="32" t="s">
        <v>1140</v>
      </c>
      <c r="C399" s="32" t="s">
        <v>973</v>
      </c>
      <c r="D399" s="33">
        <v>9</v>
      </c>
      <c r="E399" s="33">
        <v>23</v>
      </c>
      <c r="F399" s="34">
        <v>4</v>
      </c>
      <c r="G399" s="35" t="s">
        <v>1154</v>
      </c>
      <c r="H399" s="36" t="s">
        <v>1155</v>
      </c>
      <c r="I399" s="37">
        <v>975</v>
      </c>
      <c r="J399" s="37" t="s">
        <v>43</v>
      </c>
      <c r="K399" s="38">
        <v>5.5</v>
      </c>
      <c r="L399" s="38">
        <v>4.5</v>
      </c>
      <c r="M399" s="39">
        <f>SUMIFS([1]!Tabla6[SALIDA],[1]!Tabla6[CODIGO],[1]!Tabla2[[#This Row],[CODIGO]])</f>
        <v>0</v>
      </c>
      <c r="N399" s="39">
        <f>SUMIFS([1]!Tabla6[ENTRADA],[1]!Tabla6[CODIGO],[1]!Tabla2[[#This Row],[CODIGO]])</f>
        <v>0</v>
      </c>
      <c r="O399" s="40">
        <f>Tabla29[[#This Row],[DISP]]-Tabla29[[#This Row],[SALIDA]]+Tabla29[[#This Row],[ENTRADA]]</f>
        <v>975</v>
      </c>
      <c r="P399" s="116">
        <f>IFERROR(VLOOKUP([1]!Tabla2[[#This Row],[CODIGO]],[1]!Tabla6[[CODIGO]:[PRECIO VENTA]],9,0),0)</f>
        <v>0</v>
      </c>
      <c r="Q399" s="114">
        <f>IFERROR([1]!Tabla2[[#This Row],[PRECIO DETAL USD]]*0.8,0)</f>
        <v>41.6</v>
      </c>
      <c r="R399" s="115">
        <f>IFERROR([1]!Tabla2[[#This Row],[STOCK]]*[1]!Tabla2[[#This Row],[COSTO]],0)</f>
        <v>832</v>
      </c>
    </row>
    <row r="400" spans="1:18" ht="15" customHeight="1" x14ac:dyDescent="0.35">
      <c r="A400" s="43" t="s">
        <v>1156</v>
      </c>
      <c r="B400" s="32" t="s">
        <v>1140</v>
      </c>
      <c r="C400" s="32" t="s">
        <v>973</v>
      </c>
      <c r="D400" s="33">
        <v>9</v>
      </c>
      <c r="E400" s="33">
        <v>23</v>
      </c>
      <c r="F400" s="34">
        <v>5</v>
      </c>
      <c r="G400" s="35" t="s">
        <v>1157</v>
      </c>
      <c r="H400" s="36" t="s">
        <v>1158</v>
      </c>
      <c r="I400" s="37">
        <v>80</v>
      </c>
      <c r="J400" s="37" t="s">
        <v>43</v>
      </c>
      <c r="K400" s="38">
        <v>12</v>
      </c>
      <c r="L400" s="38">
        <v>9.5</v>
      </c>
      <c r="M400" s="39">
        <f>SUMIFS([1]!Tabla6[SALIDA],[1]!Tabla6[CODIGO],[1]!Tabla2[[#This Row],[CODIGO]])</f>
        <v>0</v>
      </c>
      <c r="N400" s="39">
        <f>SUMIFS([1]!Tabla6[ENTRADA],[1]!Tabla6[CODIGO],[1]!Tabla2[[#This Row],[CODIGO]])</f>
        <v>0</v>
      </c>
      <c r="O400" s="40">
        <f>Tabla29[[#This Row],[DISP]]-Tabla29[[#This Row],[SALIDA]]+Tabla29[[#This Row],[ENTRADA]]</f>
        <v>80</v>
      </c>
      <c r="P400" s="116">
        <f>IFERROR(VLOOKUP([1]!Tabla2[[#This Row],[CODIGO]],[1]!Tabla6[[CODIGO]:[PRECIO VENTA]],9,0),0)</f>
        <v>0</v>
      </c>
      <c r="Q400" s="114">
        <f>IFERROR([1]!Tabla2[[#This Row],[PRECIO DETAL USD]]*0.8,0)</f>
        <v>0</v>
      </c>
      <c r="R400" s="115">
        <f>IFERROR([1]!Tabla2[[#This Row],[STOCK]]*[1]!Tabla2[[#This Row],[COSTO]],0)</f>
        <v>0</v>
      </c>
    </row>
    <row r="401" spans="1:18" ht="15" customHeight="1" x14ac:dyDescent="0.35">
      <c r="A401" s="43" t="s">
        <v>1159</v>
      </c>
      <c r="B401" s="32" t="s">
        <v>1140</v>
      </c>
      <c r="C401" s="32" t="s">
        <v>973</v>
      </c>
      <c r="D401" s="33">
        <v>9</v>
      </c>
      <c r="E401" s="33">
        <v>23</v>
      </c>
      <c r="F401" s="34">
        <v>6</v>
      </c>
      <c r="G401" s="35" t="s">
        <v>1160</v>
      </c>
      <c r="H401" s="36" t="s">
        <v>1161</v>
      </c>
      <c r="I401" s="37">
        <v>6835</v>
      </c>
      <c r="J401" s="37" t="s">
        <v>43</v>
      </c>
      <c r="K401" s="38">
        <v>4.5</v>
      </c>
      <c r="L401" s="38">
        <v>3.5</v>
      </c>
      <c r="M401" s="39">
        <f>SUMIFS([1]!Tabla6[SALIDA],[1]!Tabla6[CODIGO],[1]!Tabla2[[#This Row],[CODIGO]])</f>
        <v>0</v>
      </c>
      <c r="N401" s="39">
        <f>SUMIFS([1]!Tabla6[ENTRADA],[1]!Tabla6[CODIGO],[1]!Tabla2[[#This Row],[CODIGO]])</f>
        <v>20</v>
      </c>
      <c r="O401" s="40">
        <f>Tabla29[[#This Row],[DISP]]-Tabla29[[#This Row],[SALIDA]]+Tabla29[[#This Row],[ENTRADA]]</f>
        <v>6855</v>
      </c>
      <c r="P401" s="116">
        <f>IFERROR(VLOOKUP([1]!Tabla2[[#This Row],[CODIGO]],[1]!Tabla6[[CODIGO]:[PRECIO VENTA]],9,0),0)</f>
        <v>849.31506849315076</v>
      </c>
      <c r="Q401" s="114">
        <f>IFERROR([1]!Tabla2[[#This Row],[PRECIO DETAL USD]]*0.8,0)</f>
        <v>629.92000000000007</v>
      </c>
      <c r="R401" s="115">
        <f>IFERROR([1]!Tabla2[[#This Row],[STOCK]]*[1]!Tabla2[[#This Row],[COSTO]],0)</f>
        <v>12598.400000000001</v>
      </c>
    </row>
    <row r="402" spans="1:18" ht="15" customHeight="1" x14ac:dyDescent="0.35">
      <c r="A402" s="43" t="s">
        <v>1162</v>
      </c>
      <c r="B402" s="32" t="s">
        <v>1140</v>
      </c>
      <c r="C402" s="32" t="s">
        <v>973</v>
      </c>
      <c r="D402" s="33">
        <v>9</v>
      </c>
      <c r="E402" s="33">
        <v>23</v>
      </c>
      <c r="F402" s="34">
        <v>7</v>
      </c>
      <c r="G402" s="35" t="s">
        <v>1163</v>
      </c>
      <c r="H402" s="36" t="s">
        <v>1164</v>
      </c>
      <c r="I402" s="37">
        <v>132</v>
      </c>
      <c r="J402" s="37" t="s">
        <v>43</v>
      </c>
      <c r="K402" s="38">
        <v>4.5</v>
      </c>
      <c r="L402" s="38">
        <v>4</v>
      </c>
      <c r="M402" s="39">
        <f>SUMIFS([1]!Tabla6[SALIDA],[1]!Tabla6[CODIGO],[1]!Tabla2[[#This Row],[CODIGO]])</f>
        <v>3</v>
      </c>
      <c r="N402" s="39">
        <f>SUMIFS([1]!Tabla6[ENTRADA],[1]!Tabla6[CODIGO],[1]!Tabla2[[#This Row],[CODIGO]])</f>
        <v>0</v>
      </c>
      <c r="O402" s="40">
        <f>Tabla29[[#This Row],[DISP]]-Tabla29[[#This Row],[SALIDA]]+Tabla29[[#This Row],[ENTRADA]]</f>
        <v>129</v>
      </c>
      <c r="P402" s="116">
        <f>IFERROR(VLOOKUP([1]!Tabla2[[#This Row],[CODIGO]],[1]!Tabla6[[CODIGO]:[PRECIO VENTA]],9,0),0)</f>
        <v>0</v>
      </c>
      <c r="Q402" s="114">
        <f>IFERROR([1]!Tabla2[[#This Row],[PRECIO DETAL USD]]*0.8,0)</f>
        <v>1192</v>
      </c>
      <c r="R402" s="115">
        <f>IFERROR([1]!Tabla2[[#This Row],[STOCK]]*[1]!Tabla2[[#This Row],[COSTO]],0)</f>
        <v>22648</v>
      </c>
    </row>
    <row r="403" spans="1:18" ht="15" customHeight="1" x14ac:dyDescent="0.35">
      <c r="A403" s="43" t="s">
        <v>1165</v>
      </c>
      <c r="B403" s="32" t="s">
        <v>1140</v>
      </c>
      <c r="C403" s="32" t="s">
        <v>973</v>
      </c>
      <c r="D403" s="33">
        <v>9</v>
      </c>
      <c r="E403" s="33">
        <v>29</v>
      </c>
      <c r="F403" s="34">
        <v>8</v>
      </c>
      <c r="G403" s="35" t="s">
        <v>1166</v>
      </c>
      <c r="H403" s="36" t="s">
        <v>1167</v>
      </c>
      <c r="I403" s="37">
        <v>260</v>
      </c>
      <c r="J403" s="37" t="s">
        <v>43</v>
      </c>
      <c r="K403" s="38">
        <v>9.5</v>
      </c>
      <c r="L403" s="44"/>
      <c r="M403" s="39">
        <f>SUMIFS([1]!Tabla6[SALIDA],[1]!Tabla6[CODIGO],[1]!Tabla2[[#This Row],[CODIGO]])</f>
        <v>0</v>
      </c>
      <c r="N403" s="39">
        <f>SUMIFS([1]!Tabla6[ENTRADA],[1]!Tabla6[CODIGO],[1]!Tabla2[[#This Row],[CODIGO]])</f>
        <v>0</v>
      </c>
      <c r="O403" s="40">
        <f>Tabla29[[#This Row],[DISP]]-Tabla29[[#This Row],[SALIDA]]+Tabla29[[#This Row],[ENTRADA]]</f>
        <v>260</v>
      </c>
      <c r="P403" s="116">
        <f>IFERROR(VLOOKUP([1]!Tabla2[[#This Row],[CODIGO]],[1]!Tabla6[[CODIGO]:[PRECIO VENTA]],9,0),0)</f>
        <v>0</v>
      </c>
      <c r="Q403" s="114">
        <f>IFERROR([1]!Tabla2[[#This Row],[PRECIO DETAL USD]]*0.8,0)</f>
        <v>1000</v>
      </c>
      <c r="R403" s="115">
        <f>IFERROR([1]!Tabla2[[#This Row],[STOCK]]*[1]!Tabla2[[#This Row],[COSTO]],0)</f>
        <v>5000</v>
      </c>
    </row>
    <row r="404" spans="1:18" ht="15" customHeight="1" x14ac:dyDescent="0.4">
      <c r="A404" s="41">
        <v>47</v>
      </c>
      <c r="B404" s="20"/>
      <c r="C404" s="21"/>
      <c r="D404" s="22"/>
      <c r="E404" s="22"/>
      <c r="F404" s="22"/>
      <c r="G404" s="23" t="s">
        <v>1168</v>
      </c>
      <c r="H404" s="24"/>
      <c r="I404" s="22"/>
      <c r="J404" s="25"/>
      <c r="K404" s="26" t="s">
        <v>20</v>
      </c>
      <c r="L404" s="22"/>
      <c r="M404" s="22"/>
      <c r="N404" s="22"/>
      <c r="O404" s="27" t="s">
        <v>21</v>
      </c>
      <c r="P404" s="113">
        <f>IFERROR(VLOOKUP([1]!Tabla2[[#This Row],[CODIGO]],[1]!Tabla6[[CODIGO]:[PRECIO VENTA]],9,0),0)</f>
        <v>0</v>
      </c>
      <c r="Q404" s="114">
        <f>IFERROR([1]!Tabla2[[#This Row],[PRECIO DETAL USD]]*0.8,0)</f>
        <v>0</v>
      </c>
      <c r="R404" s="115">
        <f>IFERROR([1]!Tabla2[[#This Row],[STOCK]]*[1]!Tabla2[[#This Row],[COSTO]],0)</f>
        <v>0</v>
      </c>
    </row>
    <row r="405" spans="1:18" ht="15" hidden="1" customHeight="1" x14ac:dyDescent="0.35">
      <c r="A405" s="43" t="s">
        <v>1169</v>
      </c>
      <c r="B405" s="32" t="s">
        <v>1170</v>
      </c>
      <c r="C405" s="32" t="s">
        <v>1171</v>
      </c>
      <c r="D405" s="33">
        <v>4</v>
      </c>
      <c r="E405" s="33">
        <v>33</v>
      </c>
      <c r="F405" s="34">
        <v>1</v>
      </c>
      <c r="G405" s="117" t="s">
        <v>1172</v>
      </c>
      <c r="H405" s="118" t="s">
        <v>1173</v>
      </c>
      <c r="I405" s="119">
        <f>2346+3136</f>
        <v>5482</v>
      </c>
      <c r="J405" s="119" t="s">
        <v>43</v>
      </c>
      <c r="K405" s="120">
        <v>7.5</v>
      </c>
      <c r="L405" s="44"/>
      <c r="M405" s="39">
        <f>SUMIFS([1]!Tabla6[SALIDA],[1]!Tabla6[CODIGO],Tabla29[[#This Row],[CODIGO]])</f>
        <v>3139.2000000009998</v>
      </c>
      <c r="N405" s="39">
        <f>SUMIFS([1]!Tabla6[ENTRADA],[1]!Tabla6[CODIGO],[1]!Tabla2[[#This Row],[CODIGO]])</f>
        <v>0</v>
      </c>
      <c r="O405" s="40">
        <f>Tabla29[[#This Row],[DISP]]-Tabla29[[#This Row],[SALIDA]]+Tabla29[[#This Row],[ENTRADA]]</f>
        <v>2342.7999999990002</v>
      </c>
      <c r="P405" s="116">
        <f>IFERROR(VLOOKUP([1]!Tabla2[[#This Row],[CODIGO]],[1]!Tabla6[[CODIGO]:[PRECIO VENTA]],9,0),0)</f>
        <v>0</v>
      </c>
      <c r="Q405" s="114">
        <f>IFERROR([1]!Tabla2[[#This Row],[PRECIO DETAL USD]]*0.8,0)</f>
        <v>84.624000000000009</v>
      </c>
      <c r="R405" s="115">
        <f>IFERROR([1]!Tabla2[[#This Row],[STOCK]]*[1]!Tabla2[[#This Row],[COSTO]],0)</f>
        <v>3046.4640000000004</v>
      </c>
    </row>
    <row r="406" spans="1:18" ht="15" hidden="1" customHeight="1" x14ac:dyDescent="0.35">
      <c r="A406" s="43" t="s">
        <v>1174</v>
      </c>
      <c r="B406" s="32" t="s">
        <v>1175</v>
      </c>
      <c r="C406" s="32" t="s">
        <v>1171</v>
      </c>
      <c r="D406" s="33">
        <v>4</v>
      </c>
      <c r="E406" s="33">
        <v>33</v>
      </c>
      <c r="F406" s="34">
        <v>2</v>
      </c>
      <c r="G406" s="117" t="s">
        <v>1176</v>
      </c>
      <c r="H406" s="118" t="s">
        <v>1177</v>
      </c>
      <c r="I406" s="119">
        <f>4082+2208</f>
        <v>6290</v>
      </c>
      <c r="J406" s="119" t="s">
        <v>43</v>
      </c>
      <c r="K406" s="120">
        <v>7.5</v>
      </c>
      <c r="L406" s="44"/>
      <c r="M406" s="39">
        <f>SUMIFS([1]!Tabla6[SALIDA],[1]!Tabla6[CODIGO],Tabla29[[#This Row],[CODIGO]])</f>
        <v>2208</v>
      </c>
      <c r="N406" s="39">
        <f>SUMIFS([1]!Tabla6[ENTRADA],[1]!Tabla6[CODIGO],[1]!Tabla2[[#This Row],[CODIGO]])</f>
        <v>20</v>
      </c>
      <c r="O406" s="40">
        <f>Tabla29[[#This Row],[DISP]]-Tabla29[[#This Row],[SALIDA]]+Tabla29[[#This Row],[ENTRADA]]</f>
        <v>4102</v>
      </c>
      <c r="P406" s="116">
        <f>IFERROR(VLOOKUP([1]!Tabla2[[#This Row],[CODIGO]],[1]!Tabla6[[CODIGO]:[PRECIO VENTA]],9,0),0)</f>
        <v>141.55844155844156</v>
      </c>
      <c r="Q406" s="114">
        <f>IFERROR([1]!Tabla2[[#This Row],[PRECIO DETAL USD]]*0.8,0)</f>
        <v>107.75999999999999</v>
      </c>
      <c r="R406" s="115">
        <f>IFERROR([1]!Tabla2[[#This Row],[STOCK]]*[1]!Tabla2[[#This Row],[COSTO]],0)</f>
        <v>1077.5999999999999</v>
      </c>
    </row>
    <row r="407" spans="1:18" ht="15" customHeight="1" x14ac:dyDescent="0.35">
      <c r="A407" s="43" t="s">
        <v>1178</v>
      </c>
      <c r="B407" s="32" t="s">
        <v>1179</v>
      </c>
      <c r="C407" s="32" t="s">
        <v>1171</v>
      </c>
      <c r="D407" s="33">
        <v>4</v>
      </c>
      <c r="E407" s="33">
        <v>33</v>
      </c>
      <c r="F407" s="34">
        <v>3</v>
      </c>
      <c r="G407" s="117" t="s">
        <v>1180</v>
      </c>
      <c r="H407" s="118" t="s">
        <v>1181</v>
      </c>
      <c r="I407" s="119">
        <v>1223</v>
      </c>
      <c r="J407" s="121" t="s">
        <v>43</v>
      </c>
      <c r="K407" s="120">
        <v>6.9</v>
      </c>
      <c r="L407" s="44"/>
      <c r="M407" s="39">
        <f>SUMIFS([1]!Tabla6[SALIDA],[1]!Tabla6[CODIGO],[1]!Tabla2[[#This Row],[CODIGO]])</f>
        <v>12</v>
      </c>
      <c r="N407" s="39">
        <f>SUMIFS([1]!Tabla6[ENTRADA],[1]!Tabla6[CODIGO],[1]!Tabla2[[#This Row],[CODIGO]])</f>
        <v>0</v>
      </c>
      <c r="O407" s="40">
        <f>Tabla29[[#This Row],[DISP]]-Tabla29[[#This Row],[SALIDA]]+Tabla29[[#This Row],[ENTRADA]]</f>
        <v>1211</v>
      </c>
      <c r="P407" s="116">
        <f>IFERROR(VLOOKUP([1]!Tabla2[[#This Row],[CODIGO]],[1]!Tabla6[[CODIGO]:[PRECIO VENTA]],9,0),0)</f>
        <v>0</v>
      </c>
      <c r="Q407" s="114">
        <f>IFERROR([1]!Tabla2[[#This Row],[PRECIO DETAL USD]]*0.8,0)</f>
        <v>72</v>
      </c>
      <c r="R407" s="115">
        <f>IFERROR([1]!Tabla2[[#This Row],[STOCK]]*[1]!Tabla2[[#This Row],[COSTO]],0)</f>
        <v>5040</v>
      </c>
    </row>
    <row r="408" spans="1:18" ht="15" customHeight="1" x14ac:dyDescent="0.35">
      <c r="A408" s="43" t="s">
        <v>1182</v>
      </c>
      <c r="B408" s="32" t="s">
        <v>1179</v>
      </c>
      <c r="C408" s="32" t="s">
        <v>1171</v>
      </c>
      <c r="D408" s="33">
        <v>4</v>
      </c>
      <c r="E408" s="33">
        <v>33</v>
      </c>
      <c r="F408" s="34">
        <v>4</v>
      </c>
      <c r="G408" s="117" t="s">
        <v>1183</v>
      </c>
      <c r="H408" s="118" t="s">
        <v>1184</v>
      </c>
      <c r="I408" s="119">
        <v>29</v>
      </c>
      <c r="J408" s="121" t="s">
        <v>43</v>
      </c>
      <c r="K408" s="120">
        <v>7.6</v>
      </c>
      <c r="L408" s="44"/>
      <c r="M408" s="39">
        <f>SUMIFS([1]!Tabla6[SALIDA],[1]!Tabla6[CODIGO],[1]!Tabla2[[#This Row],[CODIGO]])</f>
        <v>2</v>
      </c>
      <c r="N408" s="39">
        <f>SUMIFS([1]!Tabla6[ENTRADA],[1]!Tabla6[CODIGO],[1]!Tabla2[[#This Row],[CODIGO]])</f>
        <v>0</v>
      </c>
      <c r="O408" s="40">
        <f>Tabla29[[#This Row],[DISP]]-Tabla29[[#This Row],[SALIDA]]+Tabla29[[#This Row],[ENTRADA]]</f>
        <v>27</v>
      </c>
      <c r="P408" s="116">
        <f>IFERROR(VLOOKUP([1]!Tabla2[[#This Row],[CODIGO]],[1]!Tabla6[[CODIGO]:[PRECIO VENTA]],9,0),0)</f>
        <v>0</v>
      </c>
      <c r="Q408" s="114">
        <f>IFERROR([1]!Tabla2[[#This Row],[PRECIO DETAL USD]]*0.8,0)</f>
        <v>152</v>
      </c>
      <c r="R408" s="115">
        <f>IFERROR([1]!Tabla2[[#This Row],[STOCK]]*[1]!Tabla2[[#This Row],[COSTO]],0)</f>
        <v>12008</v>
      </c>
    </row>
    <row r="409" spans="1:18" ht="15" customHeight="1" x14ac:dyDescent="0.35">
      <c r="A409" s="43" t="s">
        <v>1185</v>
      </c>
      <c r="B409" s="32" t="s">
        <v>1179</v>
      </c>
      <c r="C409" s="32" t="s">
        <v>1171</v>
      </c>
      <c r="D409" s="33">
        <v>4</v>
      </c>
      <c r="E409" s="33">
        <v>33</v>
      </c>
      <c r="F409" s="34">
        <v>5</v>
      </c>
      <c r="G409" s="117" t="s">
        <v>1186</v>
      </c>
      <c r="H409" s="118" t="s">
        <v>1187</v>
      </c>
      <c r="I409" s="119">
        <v>641</v>
      </c>
      <c r="J409" s="121" t="s">
        <v>43</v>
      </c>
      <c r="K409" s="120">
        <v>9.9</v>
      </c>
      <c r="L409" s="44"/>
      <c r="M409" s="39">
        <f>SUMIFS([1]!Tabla6[SALIDA],[1]!Tabla6[CODIGO],[1]!Tabla2[[#This Row],[CODIGO]])</f>
        <v>0</v>
      </c>
      <c r="N409" s="39">
        <f>SUMIFS([1]!Tabla6[ENTRADA],[1]!Tabla6[CODIGO],[1]!Tabla2[[#This Row],[CODIGO]])</f>
        <v>0</v>
      </c>
      <c r="O409" s="40">
        <f>Tabla29[[#This Row],[DISP]]-Tabla29[[#This Row],[SALIDA]]+Tabla29[[#This Row],[ENTRADA]]</f>
        <v>641</v>
      </c>
      <c r="P409" s="116">
        <f>IFERROR(VLOOKUP([1]!Tabla2[[#This Row],[CODIGO]],[1]!Tabla6[[CODIGO]:[PRECIO VENTA]],9,0),0)</f>
        <v>0</v>
      </c>
      <c r="Q409" s="114">
        <f>IFERROR([1]!Tabla2[[#This Row],[PRECIO DETAL USD]]*0.8,0)</f>
        <v>720</v>
      </c>
      <c r="R409" s="115">
        <f>IFERROR([1]!Tabla2[[#This Row],[STOCK]]*[1]!Tabla2[[#This Row],[COSTO]],0)</f>
        <v>0</v>
      </c>
    </row>
    <row r="410" spans="1:18" ht="15" customHeight="1" x14ac:dyDescent="0.35">
      <c r="A410" s="43" t="s">
        <v>1188</v>
      </c>
      <c r="B410" s="32" t="s">
        <v>1189</v>
      </c>
      <c r="C410" s="32" t="s">
        <v>1171</v>
      </c>
      <c r="D410" s="33">
        <v>16</v>
      </c>
      <c r="E410" s="33">
        <v>3</v>
      </c>
      <c r="F410" s="34">
        <v>1</v>
      </c>
      <c r="G410" s="122" t="s">
        <v>1190</v>
      </c>
      <c r="H410" s="123" t="s">
        <v>1191</v>
      </c>
      <c r="I410" s="119">
        <v>1273</v>
      </c>
      <c r="J410" s="124" t="s">
        <v>43</v>
      </c>
      <c r="K410" s="125">
        <v>17</v>
      </c>
      <c r="L410" s="44"/>
      <c r="M410" s="39">
        <f>SUMIFS([1]!Tabla6[SALIDA],[1]!Tabla6[CODIGO],[1]!Tabla2[[#This Row],[CODIGO]])</f>
        <v>1</v>
      </c>
      <c r="N410" s="39">
        <f>SUMIFS([1]!Tabla6[ENTRADA],[1]!Tabla6[CODIGO],[1]!Tabla2[[#This Row],[CODIGO]])</f>
        <v>2</v>
      </c>
      <c r="O410" s="40">
        <f>Tabla29[[#This Row],[DISP]]-Tabla29[[#This Row],[SALIDA]]+Tabla29[[#This Row],[ENTRADA]]</f>
        <v>1274</v>
      </c>
      <c r="P410" s="116">
        <f>IFERROR(VLOOKUP([1]!Tabla2[[#This Row],[CODIGO]],[1]!Tabla6[[CODIGO]:[PRECIO VENTA]],9,0),0)</f>
        <v>0</v>
      </c>
      <c r="Q410" s="114">
        <f>IFERROR([1]!Tabla2[[#This Row],[PRECIO DETAL USD]]*0.8,0)</f>
        <v>53.879999999999995</v>
      </c>
      <c r="R410" s="115">
        <f>IFERROR([1]!Tabla2[[#This Row],[STOCK]]*[1]!Tabla2[[#This Row],[COSTO]],0)</f>
        <v>53.879999999999995</v>
      </c>
    </row>
    <row r="411" spans="1:18" ht="15" customHeight="1" x14ac:dyDescent="0.35">
      <c r="A411" s="43" t="s">
        <v>1192</v>
      </c>
      <c r="B411" s="32" t="s">
        <v>1189</v>
      </c>
      <c r="C411" s="32" t="s">
        <v>1171</v>
      </c>
      <c r="D411" s="33">
        <v>16</v>
      </c>
      <c r="E411" s="33">
        <v>3</v>
      </c>
      <c r="F411" s="34">
        <v>2</v>
      </c>
      <c r="G411" s="117" t="s">
        <v>1193</v>
      </c>
      <c r="H411" s="118" t="s">
        <v>1194</v>
      </c>
      <c r="I411" s="119">
        <v>200</v>
      </c>
      <c r="J411" s="119" t="s">
        <v>43</v>
      </c>
      <c r="K411" s="120">
        <v>14</v>
      </c>
      <c r="L411" s="44"/>
      <c r="M411" s="39">
        <f>SUMIFS([1]!Tabla6[SALIDA],[1]!Tabla6[CODIGO],[1]!Tabla2[[#This Row],[CODIGO]])</f>
        <v>0</v>
      </c>
      <c r="N411" s="39">
        <f>SUMIFS([1]!Tabla6[ENTRADA],[1]!Tabla6[CODIGO],[1]!Tabla2[[#This Row],[CODIGO]])</f>
        <v>0</v>
      </c>
      <c r="O411" s="40">
        <f>Tabla29[[#This Row],[DISP]]-Tabla29[[#This Row],[SALIDA]]+Tabla29[[#This Row],[ENTRADA]]</f>
        <v>200</v>
      </c>
      <c r="P411" s="116">
        <f>IFERROR(VLOOKUP([1]!Tabla2[[#This Row],[CODIGO]],[1]!Tabla6[[CODIGO]:[PRECIO VENTA]],9,0),0)</f>
        <v>0</v>
      </c>
      <c r="Q411" s="114">
        <f>IFERROR([1]!Tabla2[[#This Row],[PRECIO DETAL USD]]*0.8,0)</f>
        <v>0</v>
      </c>
      <c r="R411" s="115">
        <f>IFERROR([1]!Tabla2[[#This Row],[STOCK]]*[1]!Tabla2[[#This Row],[COSTO]],0)</f>
        <v>0</v>
      </c>
    </row>
    <row r="412" spans="1:18" ht="15" customHeight="1" x14ac:dyDescent="0.35">
      <c r="A412" s="43" t="s">
        <v>1195</v>
      </c>
      <c r="B412" s="32" t="s">
        <v>1196</v>
      </c>
      <c r="C412" s="32" t="s">
        <v>1171</v>
      </c>
      <c r="D412" s="33">
        <v>17</v>
      </c>
      <c r="E412" s="33">
        <v>32</v>
      </c>
      <c r="F412" s="34">
        <v>1</v>
      </c>
      <c r="G412" s="117" t="s">
        <v>1197</v>
      </c>
      <c r="H412" s="118" t="s">
        <v>1198</v>
      </c>
      <c r="I412" s="119">
        <v>200</v>
      </c>
      <c r="J412" s="119" t="s">
        <v>43</v>
      </c>
      <c r="K412" s="120">
        <v>11</v>
      </c>
      <c r="L412" s="44"/>
      <c r="M412" s="39">
        <f>SUMIFS([1]!Tabla6[SALIDA],[1]!Tabla6[CODIGO],[1]!Tabla2[[#This Row],[CODIGO]])</f>
        <v>0</v>
      </c>
      <c r="N412" s="39">
        <f>SUMIFS([1]!Tabla6[ENTRADA],[1]!Tabla6[CODIGO],[1]!Tabla2[[#This Row],[CODIGO]])</f>
        <v>0</v>
      </c>
      <c r="O412" s="40">
        <f>Tabla29[[#This Row],[DISP]]-Tabla29[[#This Row],[SALIDA]]+Tabla29[[#This Row],[ENTRADA]]</f>
        <v>200</v>
      </c>
      <c r="P412" s="116">
        <f>IFERROR(VLOOKUP([1]!Tabla2[[#This Row],[CODIGO]],[1]!Tabla6[[CODIGO]:[PRECIO VENTA]],9,0),0)</f>
        <v>0</v>
      </c>
      <c r="Q412" s="114">
        <f>IFERROR([1]!Tabla2[[#This Row],[PRECIO DETAL USD]]*0.8,0)</f>
        <v>22.400000000000002</v>
      </c>
      <c r="R412" s="115">
        <f>IFERROR([1]!Tabla2[[#This Row],[STOCK]]*[1]!Tabla2[[#This Row],[COSTO]],0)</f>
        <v>67.2</v>
      </c>
    </row>
    <row r="413" spans="1:18" ht="15" customHeight="1" x14ac:dyDescent="0.35">
      <c r="A413" s="43" t="s">
        <v>1199</v>
      </c>
      <c r="B413" s="32" t="s">
        <v>1196</v>
      </c>
      <c r="C413" s="32" t="s">
        <v>1171</v>
      </c>
      <c r="D413" s="33">
        <v>17</v>
      </c>
      <c r="E413" s="33">
        <v>32</v>
      </c>
      <c r="F413" s="34">
        <v>2</v>
      </c>
      <c r="G413" s="117" t="s">
        <v>1200</v>
      </c>
      <c r="H413" s="118" t="s">
        <v>1201</v>
      </c>
      <c r="I413" s="119">
        <v>15280</v>
      </c>
      <c r="J413" s="119" t="s">
        <v>43</v>
      </c>
      <c r="K413" s="120">
        <v>0.9</v>
      </c>
      <c r="L413" s="44"/>
      <c r="M413" s="39">
        <f>SUMIFS([1]!Tabla6[SALIDA],[1]!Tabla6[CODIGO],[1]!Tabla2[[#This Row],[CODIGO]])</f>
        <v>6</v>
      </c>
      <c r="N413" s="39">
        <f>SUMIFS([1]!Tabla6[ENTRADA],[1]!Tabla6[CODIGO],[1]!Tabla2[[#This Row],[CODIGO]])</f>
        <v>15</v>
      </c>
      <c r="O413" s="40">
        <f>Tabla29[[#This Row],[DISP]]-Tabla29[[#This Row],[SALIDA]]+Tabla29[[#This Row],[ENTRADA]]</f>
        <v>15289</v>
      </c>
      <c r="P413" s="116">
        <f>IFERROR(VLOOKUP([1]!Tabla2[[#This Row],[CODIGO]],[1]!Tabla6[[CODIGO]:[PRECIO VENTA]],9,0),0)</f>
        <v>0</v>
      </c>
      <c r="Q413" s="114">
        <f>IFERROR([1]!Tabla2[[#This Row],[PRECIO DETAL USD]]*0.8,0)</f>
        <v>135.20000000000002</v>
      </c>
      <c r="R413" s="115">
        <f>IFERROR([1]!Tabla2[[#This Row],[STOCK]]*[1]!Tabla2[[#This Row],[COSTO]],0)</f>
        <v>7436.0000000000009</v>
      </c>
    </row>
    <row r="414" spans="1:18" ht="15" customHeight="1" x14ac:dyDescent="0.35">
      <c r="A414" s="43" t="s">
        <v>1202</v>
      </c>
      <c r="B414" s="32" t="s">
        <v>1196</v>
      </c>
      <c r="C414" s="32" t="s">
        <v>1171</v>
      </c>
      <c r="D414" s="33">
        <v>17</v>
      </c>
      <c r="E414" s="33">
        <v>32</v>
      </c>
      <c r="F414" s="34">
        <v>3</v>
      </c>
      <c r="G414" s="117" t="s">
        <v>1203</v>
      </c>
      <c r="H414" s="118" t="s">
        <v>1204</v>
      </c>
      <c r="I414" s="119">
        <v>236</v>
      </c>
      <c r="J414" s="119" t="s">
        <v>43</v>
      </c>
      <c r="K414" s="120">
        <v>1.3</v>
      </c>
      <c r="L414" s="44"/>
      <c r="M414" s="39">
        <f>SUMIFS([1]!Tabla6[SALIDA],[1]!Tabla6[CODIGO],[1]!Tabla2[[#This Row],[CODIGO]])</f>
        <v>0</v>
      </c>
      <c r="N414" s="39">
        <f>SUMIFS([1]!Tabla6[ENTRADA],[1]!Tabla6[CODIGO],[1]!Tabla2[[#This Row],[CODIGO]])</f>
        <v>0</v>
      </c>
      <c r="O414" s="40">
        <f>Tabla29[[#This Row],[DISP]]-Tabla29[[#This Row],[SALIDA]]+Tabla29[[#This Row],[ENTRADA]]</f>
        <v>236</v>
      </c>
      <c r="P414" s="116">
        <f>IFERROR(VLOOKUP([1]!Tabla2[[#This Row],[CODIGO]],[1]!Tabla6[[CODIGO]:[PRECIO VENTA]],9,0),0)</f>
        <v>0</v>
      </c>
      <c r="Q414" s="114">
        <f>IFERROR([1]!Tabla2[[#This Row],[PRECIO DETAL USD]]*0.8,0)</f>
        <v>32</v>
      </c>
      <c r="R414" s="115">
        <f>IFERROR([1]!Tabla2[[#This Row],[STOCK]]*[1]!Tabla2[[#This Row],[COSTO]],0)</f>
        <v>0</v>
      </c>
    </row>
    <row r="415" spans="1:18" ht="15" customHeight="1" x14ac:dyDescent="0.35">
      <c r="A415" s="43" t="s">
        <v>1205</v>
      </c>
      <c r="B415" s="32" t="s">
        <v>1196</v>
      </c>
      <c r="C415" s="32" t="s">
        <v>1171</v>
      </c>
      <c r="D415" s="33">
        <v>17</v>
      </c>
      <c r="E415" s="33">
        <v>32</v>
      </c>
      <c r="F415" s="34">
        <v>4</v>
      </c>
      <c r="G415" s="117" t="s">
        <v>1206</v>
      </c>
      <c r="H415" s="118" t="s">
        <v>1207</v>
      </c>
      <c r="I415" s="119">
        <v>2000</v>
      </c>
      <c r="J415" s="119" t="s">
        <v>43</v>
      </c>
      <c r="K415" s="120">
        <v>0.45</v>
      </c>
      <c r="L415" s="44"/>
      <c r="M415" s="39">
        <f>SUMIFS([1]!Tabla6[SALIDA],[1]!Tabla6[CODIGO],[1]!Tabla2[[#This Row],[CODIGO]])</f>
        <v>0</v>
      </c>
      <c r="N415" s="39">
        <f>SUMIFS([1]!Tabla6[ENTRADA],[1]!Tabla6[CODIGO],[1]!Tabla2[[#This Row],[CODIGO]])</f>
        <v>0</v>
      </c>
      <c r="O415" s="40">
        <f>Tabla29[[#This Row],[DISP]]-Tabla29[[#This Row],[SALIDA]]+Tabla29[[#This Row],[ENTRADA]]</f>
        <v>2000</v>
      </c>
      <c r="P415" s="116">
        <f>IFERROR(VLOOKUP([1]!Tabla2[[#This Row],[CODIGO]],[1]!Tabla6[[CODIGO]:[PRECIO VENTA]],9,0),0)</f>
        <v>0</v>
      </c>
      <c r="Q415" s="114">
        <f>IFERROR([1]!Tabla2[[#This Row],[PRECIO DETAL USD]]*0.8,0)</f>
        <v>24</v>
      </c>
      <c r="R415" s="115">
        <f>IFERROR([1]!Tabla2[[#This Row],[STOCK]]*[1]!Tabla2[[#This Row],[COSTO]],0)</f>
        <v>96</v>
      </c>
    </row>
    <row r="416" spans="1:18" ht="15" customHeight="1" x14ac:dyDescent="0.35">
      <c r="A416" s="43" t="s">
        <v>1208</v>
      </c>
      <c r="B416" s="32" t="s">
        <v>1196</v>
      </c>
      <c r="C416" s="32" t="s">
        <v>1171</v>
      </c>
      <c r="D416" s="33">
        <v>17</v>
      </c>
      <c r="E416" s="33">
        <v>32</v>
      </c>
      <c r="F416" s="34">
        <v>5</v>
      </c>
      <c r="G416" s="117" t="s">
        <v>1209</v>
      </c>
      <c r="H416" s="118" t="s">
        <v>1210</v>
      </c>
      <c r="I416" s="119">
        <v>2000</v>
      </c>
      <c r="J416" s="119" t="s">
        <v>43</v>
      </c>
      <c r="K416" s="120">
        <v>1.3</v>
      </c>
      <c r="L416" s="44"/>
      <c r="M416" s="39">
        <f>SUMIFS([1]!Tabla6[SALIDA],[1]!Tabla6[CODIGO],[1]!Tabla2[[#This Row],[CODIGO]])</f>
        <v>0</v>
      </c>
      <c r="N416" s="39">
        <f>SUMIFS([1]!Tabla6[ENTRADA],[1]!Tabla6[CODIGO],[1]!Tabla2[[#This Row],[CODIGO]])</f>
        <v>0</v>
      </c>
      <c r="O416" s="40">
        <f>Tabla29[[#This Row],[DISP]]-Tabla29[[#This Row],[SALIDA]]+Tabla29[[#This Row],[ENTRADA]]</f>
        <v>2000</v>
      </c>
      <c r="P416" s="116">
        <f>IFERROR(VLOOKUP([1]!Tabla2[[#This Row],[CODIGO]],[1]!Tabla6[[CODIGO]:[PRECIO VENTA]],9,0),0)</f>
        <v>0</v>
      </c>
      <c r="Q416" s="114">
        <f>IFERROR([1]!Tabla2[[#This Row],[PRECIO DETAL USD]]*0.8,0)</f>
        <v>25.6</v>
      </c>
      <c r="R416" s="115">
        <f>IFERROR([1]!Tabla2[[#This Row],[STOCK]]*[1]!Tabla2[[#This Row],[COSTO]],0)</f>
        <v>102.4</v>
      </c>
    </row>
    <row r="417" spans="1:18" ht="15" customHeight="1" x14ac:dyDescent="0.35">
      <c r="A417" s="43" t="s">
        <v>1211</v>
      </c>
      <c r="B417" s="32" t="s">
        <v>1196</v>
      </c>
      <c r="C417" s="32" t="s">
        <v>1171</v>
      </c>
      <c r="D417" s="33">
        <v>17</v>
      </c>
      <c r="E417" s="33">
        <v>38</v>
      </c>
      <c r="F417" s="34">
        <v>1</v>
      </c>
      <c r="G417" s="117" t="s">
        <v>1212</v>
      </c>
      <c r="H417" s="118" t="s">
        <v>1213</v>
      </c>
      <c r="I417" s="119">
        <v>2000</v>
      </c>
      <c r="J417" s="119" t="s">
        <v>43</v>
      </c>
      <c r="K417" s="120">
        <v>0.45</v>
      </c>
      <c r="L417" s="44"/>
      <c r="M417" s="39">
        <f>SUMIFS([1]!Tabla6[SALIDA],[1]!Tabla6[CODIGO],[1]!Tabla2[[#This Row],[CODIGO]])</f>
        <v>3</v>
      </c>
      <c r="N417" s="39">
        <f>SUMIFS([1]!Tabla6[ENTRADA],[1]!Tabla6[CODIGO],[1]!Tabla2[[#This Row],[CODIGO]])</f>
        <v>0</v>
      </c>
      <c r="O417" s="40">
        <f>Tabla29[[#This Row],[DISP]]-Tabla29[[#This Row],[SALIDA]]+Tabla29[[#This Row],[ENTRADA]]</f>
        <v>1997</v>
      </c>
      <c r="P417" s="116">
        <f>IFERROR(VLOOKUP([1]!Tabla2[[#This Row],[CODIGO]],[1]!Tabla6[[CODIGO]:[PRECIO VENTA]],9,0),0)</f>
        <v>0</v>
      </c>
      <c r="Q417" s="114">
        <f>IFERROR([1]!Tabla2[[#This Row],[PRECIO DETAL USD]]*0.8,0)</f>
        <v>464</v>
      </c>
      <c r="R417" s="115">
        <f>IFERROR([1]!Tabla2[[#This Row],[STOCK]]*[1]!Tabla2[[#This Row],[COSTO]],0)</f>
        <v>20416</v>
      </c>
    </row>
    <row r="418" spans="1:18" ht="15" customHeight="1" x14ac:dyDescent="0.35">
      <c r="A418" s="43" t="s">
        <v>1214</v>
      </c>
      <c r="B418" s="32" t="s">
        <v>1215</v>
      </c>
      <c r="C418" s="32" t="s">
        <v>1171</v>
      </c>
      <c r="D418" s="33">
        <v>18</v>
      </c>
      <c r="E418" s="33">
        <v>48</v>
      </c>
      <c r="F418" s="34">
        <v>1</v>
      </c>
      <c r="G418" s="117" t="s">
        <v>1216</v>
      </c>
      <c r="H418" s="118" t="s">
        <v>1217</v>
      </c>
      <c r="I418" s="119">
        <v>90</v>
      </c>
      <c r="J418" s="119" t="s">
        <v>43</v>
      </c>
      <c r="K418" s="120">
        <v>170</v>
      </c>
      <c r="L418" s="44"/>
      <c r="M418" s="39">
        <f>SUMIFS([1]!Tabla6[SALIDA],[1]!Tabla6[CODIGO],[1]!Tabla2[[#This Row],[CODIGO]])</f>
        <v>0</v>
      </c>
      <c r="N418" s="39">
        <f>SUMIFS([1]!Tabla6[ENTRADA],[1]!Tabla6[CODIGO],[1]!Tabla2[[#This Row],[CODIGO]])</f>
        <v>0</v>
      </c>
      <c r="O418" s="40">
        <f>Tabla29[[#This Row],[DISP]]-Tabla29[[#This Row],[SALIDA]]+Tabla29[[#This Row],[ENTRADA]]</f>
        <v>90</v>
      </c>
      <c r="P418" s="116">
        <f>IFERROR(VLOOKUP([1]!Tabla2[[#This Row],[CODIGO]],[1]!Tabla6[[CODIGO]:[PRECIO VENTA]],9,0),0)</f>
        <v>0</v>
      </c>
      <c r="Q418" s="114">
        <f>IFERROR([1]!Tabla2[[#This Row],[PRECIO DETAL USD]]*0.8,0)</f>
        <v>0</v>
      </c>
      <c r="R418" s="115">
        <f>IFERROR([1]!Tabla2[[#This Row],[STOCK]]*[1]!Tabla2[[#This Row],[COSTO]],0)</f>
        <v>0</v>
      </c>
    </row>
    <row r="419" spans="1:18" ht="15" customHeight="1" x14ac:dyDescent="0.35">
      <c r="A419" s="43" t="s">
        <v>1218</v>
      </c>
      <c r="B419" s="32" t="s">
        <v>1215</v>
      </c>
      <c r="C419" s="32" t="s">
        <v>1171</v>
      </c>
      <c r="D419" s="33">
        <v>18</v>
      </c>
      <c r="E419" s="33">
        <v>48</v>
      </c>
      <c r="F419" s="34">
        <v>2</v>
      </c>
      <c r="G419" s="117" t="s">
        <v>1219</v>
      </c>
      <c r="H419" s="118" t="s">
        <v>1220</v>
      </c>
      <c r="I419" s="119">
        <v>20</v>
      </c>
      <c r="J419" s="119" t="s">
        <v>43</v>
      </c>
      <c r="K419" s="120">
        <v>70</v>
      </c>
      <c r="L419" s="44"/>
      <c r="M419" s="39">
        <f>SUMIFS([1]!Tabla6[SALIDA],[1]!Tabla6[CODIGO],[1]!Tabla2[[#This Row],[CODIGO]])</f>
        <v>33</v>
      </c>
      <c r="N419" s="39">
        <f>SUMIFS([1]!Tabla6[ENTRADA],[1]!Tabla6[CODIGO],[1]!Tabla2[[#This Row],[CODIGO]])</f>
        <v>0</v>
      </c>
      <c r="O419" s="40">
        <f>Tabla29[[#This Row],[DISP]]-Tabla29[[#This Row],[SALIDA]]+Tabla29[[#This Row],[ENTRADA]]</f>
        <v>-13</v>
      </c>
      <c r="P419" s="116">
        <f>IFERROR(VLOOKUP([1]!Tabla2[[#This Row],[CODIGO]],[1]!Tabla6[[CODIGO]:[PRECIO VENTA]],9,0),0)</f>
        <v>0</v>
      </c>
      <c r="Q419" s="114">
        <f>IFERROR([1]!Tabla2[[#This Row],[PRECIO DETAL USD]]*0.8,0)</f>
        <v>103.2</v>
      </c>
      <c r="R419" s="115">
        <f>IFERROR([1]!Tabla2[[#This Row],[STOCK]]*[1]!Tabla2[[#This Row],[COSTO]],0)</f>
        <v>2992.8</v>
      </c>
    </row>
    <row r="420" spans="1:18" ht="18.5" hidden="1" x14ac:dyDescent="0.4">
      <c r="A420" s="41">
        <v>48</v>
      </c>
      <c r="B420" s="20"/>
      <c r="C420" s="21"/>
      <c r="D420" s="22"/>
      <c r="E420" s="22"/>
      <c r="F420" s="22"/>
      <c r="G420" s="23" t="s">
        <v>1221</v>
      </c>
      <c r="H420" s="24"/>
      <c r="I420" s="22"/>
      <c r="J420" s="25"/>
      <c r="K420" s="26" t="s">
        <v>20</v>
      </c>
      <c r="L420" s="22"/>
      <c r="M420" s="22"/>
      <c r="N420" s="22"/>
      <c r="O420" s="27" t="s">
        <v>21</v>
      </c>
      <c r="P420" s="113">
        <f>IFERROR(VLOOKUP([1]!Tabla2[[#This Row],[CODIGO]],[1]!Tabla6[[CODIGO]:[PRECIO VENTA]],9,0),0)</f>
        <v>0</v>
      </c>
      <c r="Q420" s="114">
        <f>IFERROR([1]!Tabla2[[#This Row],[PRECIO DETAL USD]]*0.8,0)</f>
        <v>0</v>
      </c>
      <c r="R420" s="115">
        <f>IFERROR([1]!Tabla2[[#This Row],[STOCK]]*[1]!Tabla2[[#This Row],[COSTO]],0)</f>
        <v>0</v>
      </c>
    </row>
    <row r="421" spans="1:18" hidden="1" x14ac:dyDescent="0.35">
      <c r="A421" s="43" t="s">
        <v>1222</v>
      </c>
      <c r="B421" s="32" t="s">
        <v>1170</v>
      </c>
      <c r="C421" s="32" t="s">
        <v>1171</v>
      </c>
      <c r="D421" s="33">
        <v>4</v>
      </c>
      <c r="E421" s="33">
        <v>34</v>
      </c>
      <c r="F421" s="34">
        <v>6</v>
      </c>
      <c r="G421" s="117" t="s">
        <v>1223</v>
      </c>
      <c r="H421" s="118" t="s">
        <v>1224</v>
      </c>
      <c r="I421" s="119">
        <v>0</v>
      </c>
      <c r="J421" s="121" t="s">
        <v>1225</v>
      </c>
      <c r="K421" s="120">
        <v>21</v>
      </c>
      <c r="L421" s="44"/>
      <c r="M421" s="39">
        <f>SUMIFS([1]!Tabla6[SALIDA],[1]!Tabla6[CODIGO],[1]!Tabla2[[#This Row],[CODIGO]])</f>
        <v>0</v>
      </c>
      <c r="N421" s="39">
        <f>SUMIFS([1]!Tabla6[ENTRADA],[1]!Tabla6[CODIGO],[1]!Tabla2[[#This Row],[CODIGO]])</f>
        <v>0</v>
      </c>
      <c r="O421" s="40">
        <v>0</v>
      </c>
      <c r="P421" s="116">
        <f>IFERROR(VLOOKUP([1]!Tabla2[[#This Row],[CODIGO]],[1]!Tabla6[[CODIGO]:[PRECIO VENTA]],9,0),0)</f>
        <v>0</v>
      </c>
      <c r="Q421" s="114">
        <f>IFERROR([1]!Tabla2[[#This Row],[PRECIO DETAL USD]]*0.8,0)</f>
        <v>112</v>
      </c>
      <c r="R421" s="115">
        <f>IFERROR([1]!Tabla2[[#This Row],[STOCK]]*[1]!Tabla2[[#This Row],[COSTO]],0)</f>
        <v>560</v>
      </c>
    </row>
    <row r="422" spans="1:18" ht="15" hidden="1" customHeight="1" x14ac:dyDescent="0.35">
      <c r="A422" s="43" t="s">
        <v>1226</v>
      </c>
      <c r="B422" s="32" t="s">
        <v>1170</v>
      </c>
      <c r="C422" s="32" t="s">
        <v>1171</v>
      </c>
      <c r="D422" s="33">
        <v>4</v>
      </c>
      <c r="E422" s="33">
        <v>34</v>
      </c>
      <c r="F422" s="34">
        <v>7</v>
      </c>
      <c r="G422" s="117" t="s">
        <v>1227</v>
      </c>
      <c r="H422" s="118" t="s">
        <v>1228</v>
      </c>
      <c r="I422" s="119">
        <v>28</v>
      </c>
      <c r="J422" s="121" t="s">
        <v>1225</v>
      </c>
      <c r="K422" s="120">
        <v>4.75</v>
      </c>
      <c r="L422" s="44"/>
      <c r="M422" s="39">
        <f>SUMIFS([1]!Tabla6[SALIDA],[1]!Tabla6[CODIGO],[1]!Tabla2[[#This Row],[CODIGO]])</f>
        <v>0</v>
      </c>
      <c r="N422" s="39">
        <f>SUMIFS([1]!Tabla6[ENTRADA],[1]!Tabla6[CODIGO],[1]!Tabla2[[#This Row],[CODIGO]])</f>
        <v>0</v>
      </c>
      <c r="O422" s="40">
        <v>0</v>
      </c>
      <c r="P422" s="116">
        <f>IFERROR(VLOOKUP([1]!Tabla2[[#This Row],[CODIGO]],[1]!Tabla6[[CODIGO]:[PRECIO VENTA]],9,0),0)</f>
        <v>0</v>
      </c>
      <c r="Q422" s="114">
        <f>IFERROR([1]!Tabla2[[#This Row],[PRECIO DETAL USD]]*0.8,0)</f>
        <v>232</v>
      </c>
      <c r="R422" s="115">
        <f>IFERROR([1]!Tabla2[[#This Row],[STOCK]]*[1]!Tabla2[[#This Row],[COSTO]],0)</f>
        <v>2088</v>
      </c>
    </row>
    <row r="423" spans="1:18" hidden="1" x14ac:dyDescent="0.35">
      <c r="A423" s="43" t="s">
        <v>1229</v>
      </c>
      <c r="B423" s="32" t="s">
        <v>1175</v>
      </c>
      <c r="C423" s="32" t="s">
        <v>1171</v>
      </c>
      <c r="D423" s="33">
        <v>9</v>
      </c>
      <c r="E423" s="33">
        <v>33</v>
      </c>
      <c r="F423" s="34">
        <v>1</v>
      </c>
      <c r="G423" s="117" t="s">
        <v>1230</v>
      </c>
      <c r="H423" s="118" t="s">
        <v>1231</v>
      </c>
      <c r="I423" s="119">
        <v>613</v>
      </c>
      <c r="J423" s="121" t="s">
        <v>1225</v>
      </c>
      <c r="K423" s="120">
        <v>4.75</v>
      </c>
      <c r="L423" s="44"/>
      <c r="M423" s="39">
        <f>SUMIFS([1]!Tabla6[SALIDA],[1]!Tabla6[CODIGO],[1]!Tabla2[[#This Row],[CODIGO]])</f>
        <v>0</v>
      </c>
      <c r="N423" s="39">
        <f>SUMIFS([1]!Tabla6[ENTRADA],[1]!Tabla6[CODIGO],[1]!Tabla2[[#This Row],[CODIGO]])</f>
        <v>0</v>
      </c>
      <c r="O423" s="40">
        <v>0</v>
      </c>
      <c r="P423" s="116">
        <f>IFERROR(VLOOKUP([1]!Tabla2[[#This Row],[CODIGO]],[1]!Tabla6[[CODIGO]:[PRECIO VENTA]],9,0),0)</f>
        <v>0</v>
      </c>
      <c r="Q423" s="114">
        <f>IFERROR([1]!Tabla2[[#This Row],[PRECIO DETAL USD]]*0.8,0)</f>
        <v>192</v>
      </c>
      <c r="R423" s="115">
        <f>IFERROR([1]!Tabla2[[#This Row],[STOCK]]*[1]!Tabla2[[#This Row],[COSTO]],0)</f>
        <v>2304</v>
      </c>
    </row>
    <row r="424" spans="1:18" hidden="1" x14ac:dyDescent="0.35">
      <c r="A424" s="43" t="s">
        <v>1232</v>
      </c>
      <c r="B424" s="32" t="s">
        <v>1233</v>
      </c>
      <c r="C424" s="32" t="s">
        <v>1171</v>
      </c>
      <c r="D424" s="33">
        <v>9</v>
      </c>
      <c r="E424" s="33">
        <v>33</v>
      </c>
      <c r="F424" s="34">
        <v>2</v>
      </c>
      <c r="G424" s="117" t="s">
        <v>1234</v>
      </c>
      <c r="H424" s="118" t="s">
        <v>1235</v>
      </c>
      <c r="I424" s="119">
        <v>120</v>
      </c>
      <c r="J424" s="121" t="s">
        <v>1225</v>
      </c>
      <c r="K424" s="120">
        <v>4.75</v>
      </c>
      <c r="L424" s="44"/>
      <c r="M424" s="39">
        <f>SUMIFS([1]!Tabla6[SALIDA],[1]!Tabla6[CODIGO],[1]!Tabla2[[#This Row],[CODIGO]])</f>
        <v>2</v>
      </c>
      <c r="N424" s="39">
        <f>SUMIFS([1]!Tabla6[ENTRADA],[1]!Tabla6[CODIGO],[1]!Tabla2[[#This Row],[CODIGO]])</f>
        <v>0</v>
      </c>
      <c r="O424" s="40">
        <v>0</v>
      </c>
      <c r="P424" s="116">
        <f>IFERROR(VLOOKUP([1]!Tabla2[[#This Row],[CODIGO]],[1]!Tabla6[[CODIGO]:[PRECIO VENTA]],9,0),0)</f>
        <v>0</v>
      </c>
      <c r="Q424" s="114">
        <f>IFERROR([1]!Tabla2[[#This Row],[PRECIO DETAL USD]]*0.8,0)</f>
        <v>288</v>
      </c>
      <c r="R424" s="115">
        <f>IFERROR([1]!Tabla2[[#This Row],[STOCK]]*[1]!Tabla2[[#This Row],[COSTO]],0)</f>
        <v>0</v>
      </c>
    </row>
    <row r="425" spans="1:18" hidden="1" x14ac:dyDescent="0.35">
      <c r="A425" s="43" t="s">
        <v>1236</v>
      </c>
      <c r="B425" s="32" t="s">
        <v>1233</v>
      </c>
      <c r="C425" s="32" t="s">
        <v>1171</v>
      </c>
      <c r="D425" s="33">
        <v>9</v>
      </c>
      <c r="E425" s="33">
        <v>33</v>
      </c>
      <c r="F425" s="34">
        <v>3</v>
      </c>
      <c r="G425" s="117" t="s">
        <v>1237</v>
      </c>
      <c r="H425" s="118" t="s">
        <v>1238</v>
      </c>
      <c r="I425" s="119"/>
      <c r="J425" s="121" t="s">
        <v>1225</v>
      </c>
      <c r="K425" s="120">
        <v>24</v>
      </c>
      <c r="L425" s="44"/>
      <c r="M425" s="39">
        <f>SUMIFS([1]!Tabla6[SALIDA],[1]!Tabla6[CODIGO],[1]!Tabla2[[#This Row],[CODIGO]])</f>
        <v>0</v>
      </c>
      <c r="N425" s="39">
        <f>SUMIFS([1]!Tabla6[ENTRADA],[1]!Tabla6[CODIGO],[1]!Tabla2[[#This Row],[CODIGO]])</f>
        <v>0</v>
      </c>
      <c r="O425" s="40">
        <f>Tabla29[[#This Row],[DISP]]-Tabla29[[#This Row],[SALIDA]]+Tabla29[[#This Row],[ENTRADA]]</f>
        <v>0</v>
      </c>
      <c r="P425" s="116">
        <f>IFERROR(VLOOKUP([1]!Tabla2[[#This Row],[CODIGO]],[1]!Tabla6[[CODIGO]:[PRECIO VENTA]],9,0),0)</f>
        <v>0</v>
      </c>
      <c r="Q425" s="114">
        <f>IFERROR([1]!Tabla2[[#This Row],[PRECIO DETAL USD]]*0.8,0)</f>
        <v>0</v>
      </c>
      <c r="R425" s="115">
        <f>IFERROR([1]!Tabla2[[#This Row],[STOCK]]*[1]!Tabla2[[#This Row],[COSTO]],0)</f>
        <v>0</v>
      </c>
    </row>
    <row r="426" spans="1:18" ht="15" hidden="1" customHeight="1" x14ac:dyDescent="0.35">
      <c r="A426" s="43" t="s">
        <v>1239</v>
      </c>
      <c r="B426" s="32" t="s">
        <v>1196</v>
      </c>
      <c r="C426" s="32" t="s">
        <v>1171</v>
      </c>
      <c r="D426" s="33">
        <v>17</v>
      </c>
      <c r="E426" s="33">
        <v>38</v>
      </c>
      <c r="F426" s="34">
        <v>2</v>
      </c>
      <c r="G426" s="117" t="s">
        <v>1240</v>
      </c>
      <c r="H426" s="118" t="s">
        <v>1241</v>
      </c>
      <c r="I426" s="119">
        <v>1</v>
      </c>
      <c r="J426" s="121" t="s">
        <v>34</v>
      </c>
      <c r="K426" s="120">
        <v>4.5</v>
      </c>
      <c r="L426" s="44"/>
      <c r="M426" s="39">
        <f>SUMIFS([1]!Tabla6[SALIDA],[1]!Tabla6[CODIGO],[1]!Tabla2[[#This Row],[CODIGO]])</f>
        <v>0</v>
      </c>
      <c r="N426" s="39">
        <f>SUMIFS([1]!Tabla6[ENTRADA],[1]!Tabla6[CODIGO],[1]!Tabla2[[#This Row],[CODIGO]])</f>
        <v>0</v>
      </c>
      <c r="O426" s="40">
        <v>0</v>
      </c>
      <c r="P426" s="116">
        <f>IFERROR(VLOOKUP([1]!Tabla2[[#This Row],[CODIGO]],[1]!Tabla6[[CODIGO]:[PRECIO VENTA]],9,0),0)</f>
        <v>0</v>
      </c>
      <c r="Q426" s="114">
        <f>IFERROR([1]!Tabla2[[#This Row],[PRECIO DETAL USD]]*0.8,0)</f>
        <v>152</v>
      </c>
      <c r="R426" s="115">
        <f>IFERROR([1]!Tabla2[[#This Row],[STOCK]]*[1]!Tabla2[[#This Row],[COSTO]],0)</f>
        <v>152</v>
      </c>
    </row>
    <row r="427" spans="1:18" hidden="1" x14ac:dyDescent="0.35">
      <c r="A427" s="43" t="s">
        <v>1242</v>
      </c>
      <c r="B427" s="32" t="s">
        <v>1196</v>
      </c>
      <c r="C427" s="32" t="s">
        <v>1171</v>
      </c>
      <c r="D427" s="33">
        <v>17</v>
      </c>
      <c r="E427" s="33">
        <v>38</v>
      </c>
      <c r="F427" s="34">
        <v>3</v>
      </c>
      <c r="G427" s="117" t="s">
        <v>1243</v>
      </c>
      <c r="H427" s="118" t="s">
        <v>1244</v>
      </c>
      <c r="I427" s="119">
        <v>12</v>
      </c>
      <c r="J427" s="121" t="s">
        <v>34</v>
      </c>
      <c r="K427" s="120">
        <v>3.6</v>
      </c>
      <c r="L427" s="44"/>
      <c r="M427" s="39">
        <f>SUMIFS([1]!Tabla6[SALIDA],[1]!Tabla6[CODIGO],[1]!Tabla2[[#This Row],[CODIGO]])</f>
        <v>194</v>
      </c>
      <c r="N427" s="39">
        <f>SUMIFS([1]!Tabla6[ENTRADA],[1]!Tabla6[CODIGO],[1]!Tabla2[[#This Row],[CODIGO]])</f>
        <v>0</v>
      </c>
      <c r="O427" s="40">
        <v>0</v>
      </c>
      <c r="P427" s="116">
        <f>IFERROR(VLOOKUP([1]!Tabla2[[#This Row],[CODIGO]],[1]!Tabla6[[CODIGO]:[PRECIO VENTA]],9,0),0)</f>
        <v>0</v>
      </c>
      <c r="Q427" s="114">
        <f>IFERROR([1]!Tabla2[[#This Row],[PRECIO DETAL USD]]*0.8,0)</f>
        <v>216</v>
      </c>
      <c r="R427" s="115">
        <f>IFERROR([1]!Tabla2[[#This Row],[STOCK]]*[1]!Tabla2[[#This Row],[COSTO]],0)</f>
        <v>31752</v>
      </c>
    </row>
    <row r="428" spans="1:18" hidden="1" x14ac:dyDescent="0.35">
      <c r="A428" s="43" t="s">
        <v>1245</v>
      </c>
      <c r="B428" s="32" t="s">
        <v>1196</v>
      </c>
      <c r="C428" s="32" t="s">
        <v>1171</v>
      </c>
      <c r="D428" s="33">
        <v>17</v>
      </c>
      <c r="E428" s="33">
        <v>38</v>
      </c>
      <c r="F428" s="34">
        <v>4</v>
      </c>
      <c r="G428" s="117" t="s">
        <v>1246</v>
      </c>
      <c r="H428" s="118" t="s">
        <v>1247</v>
      </c>
      <c r="I428" s="119">
        <v>1</v>
      </c>
      <c r="J428" s="121" t="s">
        <v>34</v>
      </c>
      <c r="K428" s="120">
        <v>2.5</v>
      </c>
      <c r="L428" s="44"/>
      <c r="M428" s="39">
        <f>SUMIFS([1]!Tabla6[SALIDA],[1]!Tabla6[CODIGO],[1]!Tabla2[[#This Row],[CODIGO]])</f>
        <v>56</v>
      </c>
      <c r="N428" s="39">
        <f>SUMIFS([1]!Tabla6[ENTRADA],[1]!Tabla6[CODIGO],[1]!Tabla2[[#This Row],[CODIGO]])</f>
        <v>0</v>
      </c>
      <c r="O428" s="40">
        <v>0</v>
      </c>
      <c r="P428" s="116">
        <f>IFERROR(VLOOKUP([1]!Tabla2[[#This Row],[CODIGO]],[1]!Tabla6[[CODIGO]:[PRECIO VENTA]],9,0),0)</f>
        <v>0</v>
      </c>
      <c r="Q428" s="114">
        <f>IFERROR([1]!Tabla2[[#This Row],[PRECIO DETAL USD]]*0.8,0)</f>
        <v>224</v>
      </c>
      <c r="R428" s="115">
        <f>IFERROR([1]!Tabla2[[#This Row],[STOCK]]*[1]!Tabla2[[#This Row],[COSTO]],0)</f>
        <v>-5376</v>
      </c>
    </row>
    <row r="429" spans="1:18" hidden="1" x14ac:dyDescent="0.35">
      <c r="A429" s="43" t="s">
        <v>1248</v>
      </c>
      <c r="B429" s="32" t="s">
        <v>1196</v>
      </c>
      <c r="C429" s="32" t="s">
        <v>1171</v>
      </c>
      <c r="D429" s="33">
        <v>17</v>
      </c>
      <c r="E429" s="33">
        <v>38</v>
      </c>
      <c r="F429" s="34">
        <v>5</v>
      </c>
      <c r="G429" s="117" t="s">
        <v>1249</v>
      </c>
      <c r="H429" s="118" t="s">
        <v>1250</v>
      </c>
      <c r="I429" s="119">
        <v>1</v>
      </c>
      <c r="J429" s="121" t="s">
        <v>34</v>
      </c>
      <c r="K429" s="120">
        <v>5.9</v>
      </c>
      <c r="L429" s="44"/>
      <c r="M429" s="39">
        <f>SUMIFS([1]!Tabla6[SALIDA],[1]!Tabla6[CODIGO],[1]!Tabla2[[#This Row],[CODIGO]])</f>
        <v>2</v>
      </c>
      <c r="N429" s="39">
        <f>SUMIFS([1]!Tabla6[ENTRADA],[1]!Tabla6[CODIGO],[1]!Tabla2[[#This Row],[CODIGO]])</f>
        <v>0</v>
      </c>
      <c r="O429" s="40">
        <v>0</v>
      </c>
      <c r="P429" s="116">
        <f>IFERROR(VLOOKUP([1]!Tabla2[[#This Row],[CODIGO]],[1]!Tabla6[[CODIGO]:[PRECIO VENTA]],9,0),0)</f>
        <v>0</v>
      </c>
      <c r="Q429" s="114">
        <f>IFERROR([1]!Tabla2[[#This Row],[PRECIO DETAL USD]]*0.8,0)</f>
        <v>232</v>
      </c>
      <c r="R429" s="115">
        <f>IFERROR([1]!Tabla2[[#This Row],[STOCK]]*[1]!Tabla2[[#This Row],[COSTO]],0)</f>
        <v>7888</v>
      </c>
    </row>
    <row r="430" spans="1:18" hidden="1" x14ac:dyDescent="0.35">
      <c r="A430" s="43" t="s">
        <v>1251</v>
      </c>
      <c r="B430" s="32" t="s">
        <v>1196</v>
      </c>
      <c r="C430" s="32" t="s">
        <v>1171</v>
      </c>
      <c r="D430" s="33">
        <v>17</v>
      </c>
      <c r="E430" s="33">
        <v>38</v>
      </c>
      <c r="F430" s="34">
        <v>6</v>
      </c>
      <c r="G430" s="117" t="s">
        <v>1252</v>
      </c>
      <c r="H430" s="118" t="s">
        <v>1253</v>
      </c>
      <c r="I430" s="119">
        <v>0</v>
      </c>
      <c r="J430" s="121" t="s">
        <v>34</v>
      </c>
      <c r="K430" s="120">
        <v>3.5</v>
      </c>
      <c r="L430" s="44"/>
      <c r="M430" s="39">
        <f>SUMIFS([1]!Tabla6[SALIDA],[1]!Tabla6[CODIGO],[1]!Tabla2[[#This Row],[CODIGO]])</f>
        <v>0</v>
      </c>
      <c r="N430" s="39">
        <f>SUMIFS([1]!Tabla6[ENTRADA],[1]!Tabla6[CODIGO],[1]!Tabla2[[#This Row],[CODIGO]])</f>
        <v>0</v>
      </c>
      <c r="O430" s="40">
        <v>0</v>
      </c>
      <c r="P430" s="116">
        <f>IFERROR(VLOOKUP([1]!Tabla2[[#This Row],[CODIGO]],[1]!Tabla6[[CODIGO]:[PRECIO VENTA]],9,0),0)</f>
        <v>0</v>
      </c>
      <c r="Q430" s="114">
        <f>IFERROR([1]!Tabla2[[#This Row],[PRECIO DETAL USD]]*0.8,0)</f>
        <v>0</v>
      </c>
      <c r="R430" s="115">
        <f>IFERROR([1]!Tabla2[[#This Row],[STOCK]]*[1]!Tabla2[[#This Row],[COSTO]],0)</f>
        <v>0</v>
      </c>
    </row>
    <row r="431" spans="1:18" hidden="1" x14ac:dyDescent="0.35">
      <c r="A431" s="43" t="s">
        <v>1254</v>
      </c>
      <c r="B431" s="32" t="s">
        <v>1215</v>
      </c>
      <c r="C431" s="32" t="s">
        <v>1171</v>
      </c>
      <c r="D431" s="33">
        <v>18</v>
      </c>
      <c r="E431" s="33">
        <v>47</v>
      </c>
      <c r="F431" s="34">
        <v>1</v>
      </c>
      <c r="G431" s="117" t="s">
        <v>1255</v>
      </c>
      <c r="H431" s="118" t="s">
        <v>1256</v>
      </c>
      <c r="I431" s="119">
        <v>1</v>
      </c>
      <c r="J431" s="121" t="s">
        <v>34</v>
      </c>
      <c r="K431" s="120">
        <v>4.7</v>
      </c>
      <c r="L431" s="44"/>
      <c r="M431" s="39">
        <f>SUMIFS([1]!Tabla6[SALIDA],[1]!Tabla6[CODIGO],[1]!Tabla2[[#This Row],[CODIGO]])</f>
        <v>15</v>
      </c>
      <c r="N431" s="39">
        <f>SUMIFS([1]!Tabla6[ENTRADA],[1]!Tabla6[CODIGO],[1]!Tabla2[[#This Row],[CODIGO]])</f>
        <v>15</v>
      </c>
      <c r="O431" s="40">
        <v>0</v>
      </c>
      <c r="P431" s="116">
        <f>IFERROR(VLOOKUP([1]!Tabla2[[#This Row],[CODIGO]],[1]!Tabla6[[CODIGO]:[PRECIO VENTA]],9,0),0)</f>
        <v>0</v>
      </c>
      <c r="Q431" s="114">
        <f>IFERROR([1]!Tabla2[[#This Row],[PRECIO DETAL USD]]*0.8,0)</f>
        <v>4</v>
      </c>
      <c r="R431" s="115">
        <f>IFERROR([1]!Tabla2[[#This Row],[STOCK]]*[1]!Tabla2[[#This Row],[COSTO]],0)</f>
        <v>0</v>
      </c>
    </row>
    <row r="432" spans="1:18" ht="15" customHeight="1" x14ac:dyDescent="0.4">
      <c r="A432" s="41">
        <v>49</v>
      </c>
      <c r="B432" s="20"/>
      <c r="C432" s="21"/>
      <c r="D432" s="22"/>
      <c r="E432" s="22"/>
      <c r="F432" s="22"/>
      <c r="G432" s="23" t="s">
        <v>1257</v>
      </c>
      <c r="H432" s="24"/>
      <c r="I432" s="22"/>
      <c r="J432" s="25"/>
      <c r="K432" s="26" t="s">
        <v>20</v>
      </c>
      <c r="L432" s="22"/>
      <c r="M432" s="22"/>
      <c r="N432" s="22"/>
      <c r="O432" s="27" t="s">
        <v>21</v>
      </c>
      <c r="P432" s="113">
        <f>IFERROR(VLOOKUP([1]!Tabla2[[#This Row],[CODIGO]],[1]!Tabla6[[CODIGO]:[PRECIO VENTA]],9,0),0)</f>
        <v>0</v>
      </c>
      <c r="Q432" s="114">
        <f>IFERROR([1]!Tabla2[[#This Row],[PRECIO DETAL USD]]*0.8,0)</f>
        <v>6</v>
      </c>
      <c r="R432" s="115">
        <f>IFERROR([1]!Tabla2[[#This Row],[STOCK]]*[1]!Tabla2[[#This Row],[COSTO]],0)</f>
        <v>120</v>
      </c>
    </row>
    <row r="433" spans="1:18" ht="15" customHeight="1" x14ac:dyDescent="0.35">
      <c r="A433" s="43" t="s">
        <v>1258</v>
      </c>
      <c r="B433" s="32" t="s">
        <v>1259</v>
      </c>
      <c r="C433" s="32" t="s">
        <v>1260</v>
      </c>
      <c r="D433" s="33">
        <v>1</v>
      </c>
      <c r="E433" s="33">
        <v>37</v>
      </c>
      <c r="F433" s="34">
        <v>4</v>
      </c>
      <c r="G433" s="35" t="s">
        <v>1261</v>
      </c>
      <c r="H433" s="36" t="s">
        <v>1262</v>
      </c>
      <c r="I433" s="37">
        <v>2500</v>
      </c>
      <c r="J433" s="43" t="s">
        <v>43</v>
      </c>
      <c r="K433" s="38">
        <v>2.8</v>
      </c>
      <c r="L433" s="44"/>
      <c r="M433" s="39">
        <f>SUMIFS([1]!Tabla6[SALIDA],[1]!Tabla6[CODIGO],[1]!Tabla2[[#This Row],[CODIGO]])</f>
        <v>83</v>
      </c>
      <c r="N433" s="39">
        <f>SUMIFS([1]!Tabla6[ENTRADA],[1]!Tabla6[CODIGO],[1]!Tabla2[[#This Row],[CODIGO]])</f>
        <v>52</v>
      </c>
      <c r="O433" s="40">
        <f>Tabla29[[#This Row],[DISP]]-Tabla29[[#This Row],[SALIDA]]+Tabla29[[#This Row],[ENTRADA]]</f>
        <v>2469</v>
      </c>
      <c r="P433" s="116">
        <f>IFERROR(VLOOKUP([1]!Tabla2[[#This Row],[CODIGO]],[1]!Tabla6[[CODIGO]:[PRECIO VENTA]],9,0),0)</f>
        <v>0</v>
      </c>
      <c r="Q433" s="114">
        <f>IFERROR([1]!Tabla2[[#This Row],[PRECIO DETAL USD]]*0.8,0)</f>
        <v>6.32</v>
      </c>
      <c r="R433" s="115">
        <f>IFERROR([1]!Tabla2[[#This Row],[STOCK]]*[1]!Tabla2[[#This Row],[COSTO]],0)</f>
        <v>56.88</v>
      </c>
    </row>
    <row r="434" spans="1:18" ht="15" customHeight="1" x14ac:dyDescent="0.35">
      <c r="A434" s="43" t="s">
        <v>1263</v>
      </c>
      <c r="B434" s="32" t="s">
        <v>1259</v>
      </c>
      <c r="C434" s="32" t="s">
        <v>1260</v>
      </c>
      <c r="D434" s="33">
        <v>1</v>
      </c>
      <c r="E434" s="33">
        <v>37</v>
      </c>
      <c r="F434" s="34">
        <v>3</v>
      </c>
      <c r="G434" s="35" t="s">
        <v>1264</v>
      </c>
      <c r="H434" s="36" t="s">
        <v>1265</v>
      </c>
      <c r="I434" s="37">
        <v>5000</v>
      </c>
      <c r="J434" s="43" t="s">
        <v>43</v>
      </c>
      <c r="K434" s="38">
        <v>4.5</v>
      </c>
      <c r="L434" s="38">
        <v>3.2</v>
      </c>
      <c r="M434" s="39">
        <f>SUMIFS([1]!Tabla6[SALIDA],[1]!Tabla6[CODIGO],[1]!Tabla2[[#This Row],[CODIGO]])</f>
        <v>30</v>
      </c>
      <c r="N434" s="39">
        <f>SUMIFS([1]!Tabla6[ENTRADA],[1]!Tabla6[CODIGO],[1]!Tabla2[[#This Row],[CODIGO]])</f>
        <v>30</v>
      </c>
      <c r="O434" s="40">
        <f>Tabla29[[#This Row],[DISP]]-Tabla29[[#This Row],[SALIDA]]+Tabla29[[#This Row],[ENTRADA]]</f>
        <v>5000</v>
      </c>
      <c r="P434" s="116">
        <f>IFERROR(VLOOKUP([1]!Tabla2[[#This Row],[CODIGO]],[1]!Tabla6[[CODIGO]:[PRECIO VENTA]],9,0),0)</f>
        <v>0</v>
      </c>
      <c r="Q434" s="114">
        <f>IFERROR([1]!Tabla2[[#This Row],[PRECIO DETAL USD]]*0.8,0)</f>
        <v>7.2</v>
      </c>
      <c r="R434" s="115">
        <f>IFERROR([1]!Tabla2[[#This Row],[STOCK]]*[1]!Tabla2[[#This Row],[COSTO]],0)</f>
        <v>0</v>
      </c>
    </row>
    <row r="435" spans="1:18" ht="15" customHeight="1" x14ac:dyDescent="0.35">
      <c r="A435" s="43" t="s">
        <v>1266</v>
      </c>
      <c r="B435" s="32" t="s">
        <v>1259</v>
      </c>
      <c r="C435" s="32" t="s">
        <v>1260</v>
      </c>
      <c r="D435" s="33">
        <v>1</v>
      </c>
      <c r="E435" s="33">
        <v>37</v>
      </c>
      <c r="F435" s="34">
        <v>1</v>
      </c>
      <c r="G435" s="35" t="s">
        <v>1267</v>
      </c>
      <c r="H435" s="36" t="s">
        <v>1268</v>
      </c>
      <c r="I435" s="37">
        <v>5000</v>
      </c>
      <c r="J435" s="43" t="s">
        <v>43</v>
      </c>
      <c r="K435" s="38">
        <v>6.2</v>
      </c>
      <c r="L435" s="38">
        <v>4.0599999999999996</v>
      </c>
      <c r="M435" s="39">
        <f>SUMIFS([1]!Tabla6[SALIDA],[1]!Tabla6[CODIGO],[1]!Tabla2[[#This Row],[CODIGO]])</f>
        <v>112</v>
      </c>
      <c r="N435" s="39">
        <f>SUMIFS([1]!Tabla6[ENTRADA],[1]!Tabla6[CODIGO],[1]!Tabla2[[#This Row],[CODIGO]])</f>
        <v>103</v>
      </c>
      <c r="O435" s="40">
        <f>Tabla29[[#This Row],[DISP]]-Tabla29[[#This Row],[SALIDA]]+Tabla29[[#This Row],[ENTRADA]]</f>
        <v>4991</v>
      </c>
      <c r="P435" s="116">
        <f>IFERROR(VLOOKUP([1]!Tabla2[[#This Row],[CODIGO]],[1]!Tabla6[[CODIGO]:[PRECIO VENTA]],9,0),0)</f>
        <v>0</v>
      </c>
      <c r="Q435" s="114">
        <f>IFERROR([1]!Tabla2[[#This Row],[PRECIO DETAL USD]]*0.8,0)</f>
        <v>7.6000000000000005</v>
      </c>
      <c r="R435" s="115">
        <f>IFERROR([1]!Tabla2[[#This Row],[STOCK]]*[1]!Tabla2[[#This Row],[COSTO]],0)</f>
        <v>0</v>
      </c>
    </row>
    <row r="436" spans="1:18" ht="15" customHeight="1" x14ac:dyDescent="0.35">
      <c r="A436" s="43" t="s">
        <v>1269</v>
      </c>
      <c r="B436" s="32" t="s">
        <v>1259</v>
      </c>
      <c r="C436" s="32" t="s">
        <v>1260</v>
      </c>
      <c r="D436" s="33">
        <v>1</v>
      </c>
      <c r="E436" s="33">
        <v>37</v>
      </c>
      <c r="F436" s="34">
        <v>2</v>
      </c>
      <c r="G436" s="35" t="s">
        <v>1270</v>
      </c>
      <c r="H436" s="36" t="s">
        <v>1271</v>
      </c>
      <c r="I436" s="37">
        <v>17132</v>
      </c>
      <c r="J436" s="43" t="s">
        <v>43</v>
      </c>
      <c r="K436" s="38">
        <v>7.9</v>
      </c>
      <c r="L436" s="38">
        <v>4.7</v>
      </c>
      <c r="M436" s="39">
        <f>SUMIFS([1]!Tabla6[SALIDA],[1]!Tabla6[CODIGO],[1]!Tabla2[[#This Row],[CODIGO]])</f>
        <v>25</v>
      </c>
      <c r="N436" s="39">
        <f>SUMIFS([1]!Tabla6[ENTRADA],[1]!Tabla6[CODIGO],[1]!Tabla2[[#This Row],[CODIGO]])</f>
        <v>0</v>
      </c>
      <c r="O436" s="40">
        <f>Tabla29[[#This Row],[DISP]]-Tabla29[[#This Row],[SALIDA]]+Tabla29[[#This Row],[ENTRADA]]</f>
        <v>17107</v>
      </c>
      <c r="P436" s="116">
        <f>IFERROR(VLOOKUP([1]!Tabla2[[#This Row],[CODIGO]],[1]!Tabla6[[CODIGO]:[PRECIO VENTA]],9,0),0)</f>
        <v>0</v>
      </c>
      <c r="Q436" s="114">
        <f>IFERROR([1]!Tabla2[[#This Row],[PRECIO DETAL USD]]*0.8,0)</f>
        <v>10.4</v>
      </c>
      <c r="R436" s="115">
        <f>IFERROR([1]!Tabla2[[#This Row],[STOCK]]*[1]!Tabla2[[#This Row],[COSTO]],0)</f>
        <v>0</v>
      </c>
    </row>
    <row r="437" spans="1:18" ht="15" customHeight="1" x14ac:dyDescent="0.35">
      <c r="A437" s="43" t="s">
        <v>1272</v>
      </c>
      <c r="B437" s="32" t="s">
        <v>1273</v>
      </c>
      <c r="C437" s="32" t="s">
        <v>1260</v>
      </c>
      <c r="D437" s="33">
        <v>1</v>
      </c>
      <c r="E437" s="33">
        <v>37</v>
      </c>
      <c r="F437" s="34">
        <v>6</v>
      </c>
      <c r="G437" s="35" t="s">
        <v>1274</v>
      </c>
      <c r="H437" s="36" t="s">
        <v>1275</v>
      </c>
      <c r="I437" s="37">
        <v>400</v>
      </c>
      <c r="J437" s="43" t="s">
        <v>43</v>
      </c>
      <c r="K437" s="38">
        <v>0.7</v>
      </c>
      <c r="L437" s="38">
        <v>0.57999999999999996</v>
      </c>
      <c r="M437" s="39">
        <f>SUMIFS([1]!Tabla6[SALIDA],[1]!Tabla6[CODIGO],[1]!Tabla2[[#This Row],[CODIGO]])</f>
        <v>5</v>
      </c>
      <c r="N437" s="39">
        <f>SUMIFS([1]!Tabla6[ENTRADA],[1]!Tabla6[CODIGO],[1]!Tabla2[[#This Row],[CODIGO]])</f>
        <v>0</v>
      </c>
      <c r="O437" s="40">
        <f>Tabla29[[#This Row],[DISP]]-Tabla29[[#This Row],[SALIDA]]+Tabla29[[#This Row],[ENTRADA]]</f>
        <v>395</v>
      </c>
      <c r="P437" s="116">
        <f>IFERROR(VLOOKUP([1]!Tabla2[[#This Row],[CODIGO]],[1]!Tabla6[[CODIGO]:[PRECIO VENTA]],9,0),0)</f>
        <v>0</v>
      </c>
      <c r="Q437" s="114">
        <f>IFERROR([1]!Tabla2[[#This Row],[PRECIO DETAL USD]]*0.8,0)</f>
        <v>11.200000000000001</v>
      </c>
      <c r="R437" s="115">
        <f>IFERROR([1]!Tabla2[[#This Row],[STOCK]]*[1]!Tabla2[[#This Row],[COSTO]],0)</f>
        <v>0</v>
      </c>
    </row>
    <row r="438" spans="1:18" ht="15" customHeight="1" x14ac:dyDescent="0.35">
      <c r="A438" s="43" t="s">
        <v>1276</v>
      </c>
      <c r="B438" s="32" t="s">
        <v>1273</v>
      </c>
      <c r="C438" s="32" t="s">
        <v>1260</v>
      </c>
      <c r="D438" s="33">
        <v>1</v>
      </c>
      <c r="E438" s="33">
        <v>37</v>
      </c>
      <c r="F438" s="34">
        <v>5</v>
      </c>
      <c r="G438" s="35" t="s">
        <v>1277</v>
      </c>
      <c r="H438" s="36" t="s">
        <v>1278</v>
      </c>
      <c r="I438" s="37">
        <v>1600</v>
      </c>
      <c r="J438" s="43" t="s">
        <v>43</v>
      </c>
      <c r="K438" s="38">
        <v>0.45</v>
      </c>
      <c r="L438" s="38">
        <v>0.31</v>
      </c>
      <c r="M438" s="39">
        <f>SUMIFS([1]!Tabla6[SALIDA],[1]!Tabla6[CODIGO],[1]!Tabla2[[#This Row],[CODIGO]])</f>
        <v>0</v>
      </c>
      <c r="N438" s="39">
        <f>SUMIFS([1]!Tabla6[ENTRADA],[1]!Tabla6[CODIGO],[1]!Tabla2[[#This Row],[CODIGO]])</f>
        <v>0</v>
      </c>
      <c r="O438" s="40">
        <f>Tabla29[[#This Row],[DISP]]-Tabla29[[#This Row],[SALIDA]]+Tabla29[[#This Row],[ENTRADA]]</f>
        <v>1600</v>
      </c>
      <c r="P438" s="116">
        <f>IFERROR(VLOOKUP([1]!Tabla2[[#This Row],[CODIGO]],[1]!Tabla6[[CODIGO]:[PRECIO VENTA]],9,0),0)</f>
        <v>0</v>
      </c>
      <c r="Q438" s="114">
        <f>IFERROR([1]!Tabla2[[#This Row],[PRECIO DETAL USD]]*0.8,0)</f>
        <v>0</v>
      </c>
      <c r="R438" s="115">
        <f>IFERROR([1]!Tabla2[[#This Row],[STOCK]]*[1]!Tabla2[[#This Row],[COSTO]],0)</f>
        <v>0</v>
      </c>
    </row>
    <row r="439" spans="1:18" ht="15" customHeight="1" x14ac:dyDescent="0.35">
      <c r="A439" s="43" t="s">
        <v>1279</v>
      </c>
      <c r="B439" s="32" t="s">
        <v>1259</v>
      </c>
      <c r="C439" s="32" t="s">
        <v>1260</v>
      </c>
      <c r="D439" s="33">
        <v>1</v>
      </c>
      <c r="E439" s="33">
        <v>42</v>
      </c>
      <c r="F439" s="34">
        <v>2</v>
      </c>
      <c r="G439" s="35" t="s">
        <v>1280</v>
      </c>
      <c r="H439" s="36" t="s">
        <v>1281</v>
      </c>
      <c r="I439" s="37">
        <v>80</v>
      </c>
      <c r="J439" s="43" t="s">
        <v>38</v>
      </c>
      <c r="K439" s="38">
        <v>7.3</v>
      </c>
      <c r="L439" s="44"/>
      <c r="M439" s="39">
        <f>SUMIFS([1]!Tabla6[SALIDA],[1]!Tabla6[CODIGO],[1]!Tabla2[[#This Row],[CODIGO]])</f>
        <v>39</v>
      </c>
      <c r="N439" s="39">
        <f>SUMIFS([1]!Tabla6[ENTRADA],[1]!Tabla6[CODIGO],[1]!Tabla2[[#This Row],[CODIGO]])</f>
        <v>0</v>
      </c>
      <c r="O439" s="40">
        <f>Tabla29[[#This Row],[DISP]]-Tabla29[[#This Row],[SALIDA]]+Tabla29[[#This Row],[ENTRADA]]</f>
        <v>41</v>
      </c>
      <c r="P439" s="116">
        <f>IFERROR(VLOOKUP([1]!Tabla2[[#This Row],[CODIGO]],[1]!Tabla6[[CODIGO]:[PRECIO VENTA]],9,0),0)</f>
        <v>0</v>
      </c>
      <c r="Q439" s="114">
        <f>IFERROR([1]!Tabla2[[#This Row],[PRECIO DETAL USD]]*0.8,0)</f>
        <v>0</v>
      </c>
      <c r="R439" s="115">
        <f>IFERROR([1]!Tabla2[[#This Row],[STOCK]]*[1]!Tabla2[[#This Row],[COSTO]],0)</f>
        <v>0</v>
      </c>
    </row>
    <row r="440" spans="1:18" ht="15" customHeight="1" x14ac:dyDescent="0.35">
      <c r="A440" s="43" t="s">
        <v>1282</v>
      </c>
      <c r="B440" s="32" t="s">
        <v>1259</v>
      </c>
      <c r="C440" s="32" t="s">
        <v>1260</v>
      </c>
      <c r="D440" s="33">
        <v>1</v>
      </c>
      <c r="E440" s="33">
        <v>42</v>
      </c>
      <c r="F440" s="34">
        <v>1</v>
      </c>
      <c r="G440" s="35" t="s">
        <v>1283</v>
      </c>
      <c r="H440" s="36" t="s">
        <v>1284</v>
      </c>
      <c r="I440" s="37">
        <v>99</v>
      </c>
      <c r="J440" s="43" t="s">
        <v>38</v>
      </c>
      <c r="K440" s="38">
        <v>9.6999999999999993</v>
      </c>
      <c r="L440" s="44"/>
      <c r="M440" s="39">
        <f>SUMIFS([1]!Tabla6[SALIDA],[1]!Tabla6[CODIGO],[1]!Tabla2[[#This Row],[CODIGO]])</f>
        <v>139</v>
      </c>
      <c r="N440" s="39">
        <f>SUMIFS([1]!Tabla6[ENTRADA],[1]!Tabla6[CODIGO],[1]!Tabla2[[#This Row],[CODIGO]])</f>
        <v>0</v>
      </c>
      <c r="O440" s="40">
        <f>Tabla29[[#This Row],[DISP]]-Tabla29[[#This Row],[SALIDA]]+Tabla29[[#This Row],[ENTRADA]]</f>
        <v>-40</v>
      </c>
      <c r="P440" s="116">
        <f>IFERROR(VLOOKUP([1]!Tabla2[[#This Row],[CODIGO]],[1]!Tabla6[[CODIGO]:[PRECIO VENTA]],9,0),0)</f>
        <v>0</v>
      </c>
      <c r="Q440" s="114">
        <f>IFERROR([1]!Tabla2[[#This Row],[PRECIO DETAL USD]]*0.8,0)</f>
        <v>0</v>
      </c>
      <c r="R440" s="115">
        <f>IFERROR([1]!Tabla2[[#This Row],[STOCK]]*[1]!Tabla2[[#This Row],[COSTO]],0)</f>
        <v>0</v>
      </c>
    </row>
    <row r="441" spans="1:18" ht="15" customHeight="1" x14ac:dyDescent="0.35">
      <c r="A441" s="43" t="s">
        <v>1285</v>
      </c>
      <c r="B441" s="32" t="s">
        <v>1286</v>
      </c>
      <c r="C441" s="32" t="s">
        <v>1260</v>
      </c>
      <c r="D441" s="33">
        <v>16</v>
      </c>
      <c r="E441" s="33">
        <v>52</v>
      </c>
      <c r="F441" s="34">
        <v>1</v>
      </c>
      <c r="G441" s="35" t="s">
        <v>1287</v>
      </c>
      <c r="H441" s="36" t="s">
        <v>1288</v>
      </c>
      <c r="I441" s="37">
        <v>2994</v>
      </c>
      <c r="J441" s="43" t="s">
        <v>43</v>
      </c>
      <c r="K441" s="38">
        <v>3.5</v>
      </c>
      <c r="L441" s="38">
        <v>2.9</v>
      </c>
      <c r="M441" s="39">
        <f>SUMIFS([1]!Tabla6[SALIDA],[1]!Tabla6[CODIGO],[1]!Tabla2[[#This Row],[CODIGO]])</f>
        <v>0</v>
      </c>
      <c r="N441" s="39">
        <f>SUMIFS([1]!Tabla6[ENTRADA],[1]!Tabla6[CODIGO],[1]!Tabla2[[#This Row],[CODIGO]])</f>
        <v>0</v>
      </c>
      <c r="O441" s="40">
        <f>Tabla29[[#This Row],[DISP]]-Tabla29[[#This Row],[SALIDA]]+Tabla29[[#This Row],[ENTRADA]]</f>
        <v>2994</v>
      </c>
      <c r="P441" s="116">
        <f>IFERROR(VLOOKUP([1]!Tabla2[[#This Row],[CODIGO]],[1]!Tabla6[[CODIGO]:[PRECIO VENTA]],9,0),0)</f>
        <v>0</v>
      </c>
      <c r="Q441" s="114">
        <f>IFERROR([1]!Tabla2[[#This Row],[PRECIO DETAL USD]]*0.8,0)</f>
        <v>0</v>
      </c>
      <c r="R441" s="115">
        <f>IFERROR([1]!Tabla2[[#This Row],[STOCK]]*[1]!Tabla2[[#This Row],[COSTO]],0)</f>
        <v>0</v>
      </c>
    </row>
    <row r="442" spans="1:18" ht="15" customHeight="1" x14ac:dyDescent="0.35">
      <c r="A442" s="43" t="s">
        <v>1289</v>
      </c>
      <c r="B442" s="32" t="s">
        <v>1286</v>
      </c>
      <c r="C442" s="32" t="s">
        <v>1260</v>
      </c>
      <c r="D442" s="33">
        <v>8</v>
      </c>
      <c r="E442" s="33">
        <v>52</v>
      </c>
      <c r="F442" s="34">
        <v>1</v>
      </c>
      <c r="G442" s="35" t="s">
        <v>1290</v>
      </c>
      <c r="H442" s="36" t="s">
        <v>1291</v>
      </c>
      <c r="I442" s="37">
        <v>500</v>
      </c>
      <c r="J442" s="43" t="s">
        <v>43</v>
      </c>
      <c r="K442" s="38">
        <v>2.5</v>
      </c>
      <c r="L442" s="38">
        <v>1.9</v>
      </c>
      <c r="M442" s="39">
        <f>SUMIFS([1]!Tabla6[SALIDA],[1]!Tabla6[CODIGO],[1]!Tabla2[[#This Row],[CODIGO]])</f>
        <v>0</v>
      </c>
      <c r="N442" s="39">
        <f>SUMIFS([1]!Tabla6[ENTRADA],[1]!Tabla6[CODIGO],[1]!Tabla2[[#This Row],[CODIGO]])</f>
        <v>0</v>
      </c>
      <c r="O442" s="40">
        <f>Tabla29[[#This Row],[DISP]]-Tabla29[[#This Row],[SALIDA]]+Tabla29[[#This Row],[ENTRADA]]</f>
        <v>500</v>
      </c>
      <c r="P442" s="116">
        <f>IFERROR(VLOOKUP([1]!Tabla2[[#This Row],[CODIGO]],[1]!Tabla6[[CODIGO]:[PRECIO VENTA]],9,0),0)</f>
        <v>0</v>
      </c>
      <c r="Q442" s="114">
        <f>IFERROR([1]!Tabla2[[#This Row],[PRECIO DETAL USD]]*0.8,0)</f>
        <v>0</v>
      </c>
      <c r="R442" s="115">
        <f>IFERROR([1]!Tabla2[[#This Row],[STOCK]]*[1]!Tabla2[[#This Row],[COSTO]],0)</f>
        <v>0</v>
      </c>
    </row>
    <row r="443" spans="1:18" ht="15" customHeight="1" x14ac:dyDescent="0.35">
      <c r="A443" s="43" t="s">
        <v>1292</v>
      </c>
      <c r="B443" s="32" t="s">
        <v>1286</v>
      </c>
      <c r="C443" s="32" t="s">
        <v>1260</v>
      </c>
      <c r="D443" s="33">
        <v>21</v>
      </c>
      <c r="E443" s="33">
        <v>52</v>
      </c>
      <c r="F443" s="34">
        <v>1</v>
      </c>
      <c r="G443" s="35" t="s">
        <v>1293</v>
      </c>
      <c r="H443" s="36" t="s">
        <v>1294</v>
      </c>
      <c r="I443" s="37">
        <v>300</v>
      </c>
      <c r="J443" s="43" t="s">
        <v>43</v>
      </c>
      <c r="K443" s="38">
        <v>4.5</v>
      </c>
      <c r="L443" s="38">
        <v>3.4</v>
      </c>
      <c r="M443" s="39">
        <f>SUMIFS([1]!Tabla6[SALIDA],[1]!Tabla6[CODIGO],[1]!Tabla2[[#This Row],[CODIGO]])</f>
        <v>0</v>
      </c>
      <c r="N443" s="39">
        <f>SUMIFS([1]!Tabla6[ENTRADA],[1]!Tabla6[CODIGO],[1]!Tabla2[[#This Row],[CODIGO]])</f>
        <v>0</v>
      </c>
      <c r="O443" s="40">
        <f>Tabla29[[#This Row],[DISP]]-Tabla29[[#This Row],[SALIDA]]+Tabla29[[#This Row],[ENTRADA]]</f>
        <v>300</v>
      </c>
      <c r="P443" s="116">
        <f>IFERROR(VLOOKUP([1]!Tabla2[[#This Row],[CODIGO]],[1]!Tabla6[[CODIGO]:[PRECIO VENTA]],9,0),0)</f>
        <v>0</v>
      </c>
      <c r="Q443" s="114">
        <f>IFERROR([1]!Tabla2[[#This Row],[PRECIO DETAL USD]]*0.8,0)</f>
        <v>0</v>
      </c>
      <c r="R443" s="115">
        <f>IFERROR([1]!Tabla2[[#This Row],[STOCK]]*[1]!Tabla2[[#This Row],[COSTO]],0)</f>
        <v>0</v>
      </c>
    </row>
    <row r="444" spans="1:18" ht="15" customHeight="1" x14ac:dyDescent="0.35">
      <c r="A444" s="43" t="s">
        <v>1295</v>
      </c>
      <c r="B444" s="32" t="s">
        <v>1296</v>
      </c>
      <c r="C444" s="32" t="s">
        <v>1260</v>
      </c>
      <c r="D444" s="33">
        <v>10</v>
      </c>
      <c r="E444" s="33">
        <v>3</v>
      </c>
      <c r="F444" s="34">
        <v>1</v>
      </c>
      <c r="G444" s="35" t="s">
        <v>1297</v>
      </c>
      <c r="H444" s="36" t="s">
        <v>1298</v>
      </c>
      <c r="I444" s="37">
        <v>7</v>
      </c>
      <c r="J444" s="43" t="s">
        <v>43</v>
      </c>
      <c r="K444" s="38">
        <v>0.74</v>
      </c>
      <c r="L444" s="44"/>
      <c r="M444" s="39">
        <f>SUMIFS([1]!Tabla6[SALIDA],[1]!Tabla6[CODIGO],[1]!Tabla2[[#This Row],[CODIGO]])</f>
        <v>0</v>
      </c>
      <c r="N444" s="39">
        <f>SUMIFS([1]!Tabla6[ENTRADA],[1]!Tabla6[CODIGO],[1]!Tabla2[[#This Row],[CODIGO]])</f>
        <v>0</v>
      </c>
      <c r="O444" s="40">
        <v>250</v>
      </c>
      <c r="P444" s="116" t="e">
        <f>VLOOKUP([1]!Tabla2[[#This Row],[CODIGO]],[1]MOVIMIENTO!D$42:$L302,9,0)</f>
        <v>#VALUE!</v>
      </c>
      <c r="Q444" s="114">
        <f>IFERROR([1]!Tabla2[[#This Row],[PRECIO DETAL USD]]*0.8,0)</f>
        <v>0</v>
      </c>
      <c r="R444" s="115">
        <f>IFERROR([1]!Tabla2[[#This Row],[STOCK]]*[1]!Tabla2[[#This Row],[COSTO]],0)</f>
        <v>0</v>
      </c>
    </row>
    <row r="445" spans="1:18" ht="15" customHeight="1" x14ac:dyDescent="0.35">
      <c r="A445" s="43" t="s">
        <v>1299</v>
      </c>
      <c r="B445" s="32" t="s">
        <v>1296</v>
      </c>
      <c r="C445" s="32" t="s">
        <v>1260</v>
      </c>
      <c r="D445" s="33">
        <v>10</v>
      </c>
      <c r="E445" s="33">
        <v>3</v>
      </c>
      <c r="F445" s="34">
        <v>2</v>
      </c>
      <c r="G445" s="35" t="s">
        <v>1300</v>
      </c>
      <c r="H445" s="36" t="s">
        <v>1301</v>
      </c>
      <c r="I445" s="37">
        <v>6</v>
      </c>
      <c r="J445" s="43" t="s">
        <v>43</v>
      </c>
      <c r="K445" s="38">
        <v>1.35</v>
      </c>
      <c r="L445" s="44"/>
      <c r="M445" s="39">
        <f>SUMIFS([1]!Tabla6[SALIDA],[1]!Tabla6[CODIGO],[1]!Tabla2[[#This Row],[CODIGO]])</f>
        <v>0</v>
      </c>
      <c r="N445" s="39">
        <f>SUMIFS([1]!Tabla6[ENTRADA],[1]!Tabla6[CODIGO],[1]!Tabla2[[#This Row],[CODIGO]])</f>
        <v>0</v>
      </c>
      <c r="O445" s="40">
        <v>75</v>
      </c>
      <c r="P445" s="116">
        <f>IFERROR(VLOOKUP([1]!Tabla2[[#This Row],[CODIGO]],[1]!Tabla6[[CODIGO]:[PRECIO VENTA]],9,0),0)</f>
        <v>0</v>
      </c>
      <c r="Q445" s="114">
        <f>IFERROR([1]!Tabla2[[#This Row],[PRECIO DETAL USD]]*0.8,0)</f>
        <v>0</v>
      </c>
      <c r="R445" s="115">
        <f>IFERROR([1]!Tabla2[[#This Row],[STOCK]]*[1]!Tabla2[[#This Row],[COSTO]],0)</f>
        <v>0</v>
      </c>
    </row>
    <row r="446" spans="1:18" ht="15" customHeight="1" x14ac:dyDescent="0.35">
      <c r="A446" s="43" t="s">
        <v>1302</v>
      </c>
      <c r="B446" s="32" t="s">
        <v>1296</v>
      </c>
      <c r="C446" s="32" t="s">
        <v>1260</v>
      </c>
      <c r="D446" s="33">
        <v>10</v>
      </c>
      <c r="E446" s="33">
        <v>3</v>
      </c>
      <c r="F446" s="34">
        <v>3</v>
      </c>
      <c r="G446" s="35" t="s">
        <v>1303</v>
      </c>
      <c r="H446" s="36" t="s">
        <v>1304</v>
      </c>
      <c r="I446" s="37">
        <v>24</v>
      </c>
      <c r="J446" s="43" t="s">
        <v>43</v>
      </c>
      <c r="K446" s="38">
        <v>1.26</v>
      </c>
      <c r="L446" s="44"/>
      <c r="M446" s="39">
        <f>SUMIFS([1]!Tabla6[SALIDA],[1]!Tabla6[CODIGO],[1]!Tabla2[[#This Row],[CODIGO]])</f>
        <v>0</v>
      </c>
      <c r="N446" s="39">
        <f>SUMIFS([1]!Tabla6[ENTRADA],[1]!Tabla6[CODIGO],[1]!Tabla2[[#This Row],[CODIGO]])</f>
        <v>0</v>
      </c>
      <c r="O446" s="40">
        <f>Tabla29[[#This Row],[DISP]]-Tabla29[[#This Row],[SALIDA]]+Tabla29[[#This Row],[ENTRADA]]</f>
        <v>24</v>
      </c>
      <c r="P446" s="116">
        <f>IFERROR(VLOOKUP([1]!Tabla2[[#This Row],[CODIGO]],[1]!Tabla6[[CODIGO]:[PRECIO VENTA]],9,0),0)</f>
        <v>0</v>
      </c>
      <c r="Q446" s="114">
        <f>IFERROR([1]!Tabla2[[#This Row],[PRECIO DETAL USD]]*0.8,0)</f>
        <v>0</v>
      </c>
      <c r="R446" s="115">
        <f>IFERROR([1]!Tabla2[[#This Row],[STOCK]]*[1]!Tabla2[[#This Row],[COSTO]],0)</f>
        <v>0</v>
      </c>
    </row>
    <row r="447" spans="1:18" ht="15" customHeight="1" x14ac:dyDescent="0.35">
      <c r="A447" s="43" t="s">
        <v>1305</v>
      </c>
      <c r="B447" s="32" t="s">
        <v>1296</v>
      </c>
      <c r="C447" s="32" t="s">
        <v>1260</v>
      </c>
      <c r="D447" s="33">
        <v>10</v>
      </c>
      <c r="E447" s="33">
        <v>3</v>
      </c>
      <c r="F447" s="34">
        <v>4</v>
      </c>
      <c r="G447" s="35" t="s">
        <v>1306</v>
      </c>
      <c r="H447" s="36" t="s">
        <v>1307</v>
      </c>
      <c r="I447" s="37">
        <v>23</v>
      </c>
      <c r="J447" s="43" t="s">
        <v>43</v>
      </c>
      <c r="K447" s="38">
        <v>2.94</v>
      </c>
      <c r="L447" s="44"/>
      <c r="M447" s="39">
        <f>SUMIFS([1]!Tabla6[SALIDA],[1]!Tabla6[CODIGO],[1]!Tabla2[[#This Row],[CODIGO]])</f>
        <v>0</v>
      </c>
      <c r="N447" s="39">
        <f>SUMIFS([1]!Tabla6[ENTRADA],[1]!Tabla6[CODIGO],[1]!Tabla2[[#This Row],[CODIGO]])</f>
        <v>0</v>
      </c>
      <c r="O447" s="40">
        <f>Tabla29[[#This Row],[DISP]]-Tabla29[[#This Row],[SALIDA]]+Tabla29[[#This Row],[ENTRADA]]</f>
        <v>23</v>
      </c>
      <c r="P447" s="116">
        <f>IFERROR(VLOOKUP([1]!Tabla2[[#This Row],[CODIGO]],[1]!Tabla6[[CODIGO]:[PRECIO VENTA]],9,0),0)</f>
        <v>0</v>
      </c>
      <c r="Q447" s="114">
        <f>IFERROR([1]!Tabla2[[#This Row],[PRECIO DETAL USD]]*0.8,0)</f>
        <v>0</v>
      </c>
      <c r="R447" s="115">
        <f>IFERROR([1]!Tabla2[[#This Row],[STOCK]]*[1]!Tabla2[[#This Row],[COSTO]],0)</f>
        <v>0</v>
      </c>
    </row>
    <row r="448" spans="1:18" ht="15" customHeight="1" x14ac:dyDescent="0.35">
      <c r="A448" s="43" t="s">
        <v>1308</v>
      </c>
      <c r="B448" s="32" t="s">
        <v>1296</v>
      </c>
      <c r="C448" s="32" t="s">
        <v>1260</v>
      </c>
      <c r="D448" s="33">
        <v>10</v>
      </c>
      <c r="E448" s="33">
        <v>3</v>
      </c>
      <c r="F448" s="34">
        <v>5</v>
      </c>
      <c r="G448" s="35" t="s">
        <v>1309</v>
      </c>
      <c r="H448" s="36" t="s">
        <v>1310</v>
      </c>
      <c r="I448" s="37">
        <v>27</v>
      </c>
      <c r="J448" s="43" t="s">
        <v>43</v>
      </c>
      <c r="K448" s="38">
        <v>5.46</v>
      </c>
      <c r="L448" s="44"/>
      <c r="M448" s="39">
        <f>SUMIFS([1]!Tabla6[SALIDA],[1]!Tabla6[CODIGO],[1]!Tabla2[[#This Row],[CODIGO]])</f>
        <v>0</v>
      </c>
      <c r="N448" s="39">
        <f>SUMIFS([1]!Tabla6[ENTRADA],[1]!Tabla6[CODIGO],[1]!Tabla2[[#This Row],[CODIGO]])</f>
        <v>0</v>
      </c>
      <c r="O448" s="40">
        <f>Tabla29[[#This Row],[DISP]]-Tabla29[[#This Row],[SALIDA]]+Tabla29[[#This Row],[ENTRADA]]</f>
        <v>27</v>
      </c>
      <c r="P448" s="116">
        <f>IFERROR(VLOOKUP([1]!Tabla2[[#This Row],[CODIGO]],[1]!Tabla6[[CODIGO]:[PRECIO VENTA]],9,0),0)</f>
        <v>0</v>
      </c>
      <c r="Q448" s="114">
        <f>IFERROR([1]!Tabla2[[#This Row],[PRECIO DETAL USD]]*0.8,0)</f>
        <v>0</v>
      </c>
      <c r="R448" s="115">
        <f>IFERROR([1]!Tabla2[[#This Row],[STOCK]]*[1]!Tabla2[[#This Row],[COSTO]],0)</f>
        <v>0</v>
      </c>
    </row>
    <row r="449" spans="1:18" ht="15" customHeight="1" x14ac:dyDescent="0.35">
      <c r="A449" s="43" t="s">
        <v>1311</v>
      </c>
      <c r="B449" s="32" t="s">
        <v>1312</v>
      </c>
      <c r="C449" s="32" t="s">
        <v>1260</v>
      </c>
      <c r="D449" s="33">
        <v>10</v>
      </c>
      <c r="E449" s="33">
        <v>50</v>
      </c>
      <c r="F449" s="34">
        <v>1</v>
      </c>
      <c r="G449" s="35" t="s">
        <v>1313</v>
      </c>
      <c r="H449" s="36" t="s">
        <v>1314</v>
      </c>
      <c r="I449" s="37">
        <v>267</v>
      </c>
      <c r="J449" s="43" t="s">
        <v>43</v>
      </c>
      <c r="K449" s="38">
        <v>18</v>
      </c>
      <c r="L449" s="44"/>
      <c r="M449" s="39">
        <f>SUMIFS([1]!Tabla6[SALIDA],[1]!Tabla6[CODIGO],[1]!Tabla2[[#This Row],[CODIGO]])</f>
        <v>0</v>
      </c>
      <c r="N449" s="39">
        <f>SUMIFS([1]!Tabla6[ENTRADA],[1]!Tabla6[CODIGO],[1]!Tabla2[[#This Row],[CODIGO]])</f>
        <v>0</v>
      </c>
      <c r="O449" s="40">
        <f>Tabla29[[#This Row],[DISP]]-Tabla29[[#This Row],[SALIDA]]+Tabla29[[#This Row],[ENTRADA]]</f>
        <v>267</v>
      </c>
      <c r="P449" s="116">
        <f>IFERROR(VLOOKUP([1]!Tabla2[[#This Row],[CODIGO]],[1]!Tabla6[[CODIGO]:[PRECIO VENTA]],9,0),0)</f>
        <v>0</v>
      </c>
      <c r="Q449" s="114">
        <f>IFERROR([1]!Tabla2[[#This Row],[PRECIO DETAL USD]]*0.8,0)</f>
        <v>0</v>
      </c>
      <c r="R449" s="115">
        <f>IFERROR([1]!Tabla2[[#This Row],[STOCK]]*[1]!Tabla2[[#This Row],[COSTO]],0)</f>
        <v>0</v>
      </c>
    </row>
    <row r="450" spans="1:18" ht="15" customHeight="1" x14ac:dyDescent="0.35">
      <c r="A450" s="43" t="s">
        <v>1315</v>
      </c>
      <c r="B450" s="32" t="s">
        <v>1316</v>
      </c>
      <c r="C450" s="32" t="s">
        <v>1260</v>
      </c>
      <c r="D450" s="33">
        <v>10</v>
      </c>
      <c r="E450" s="33">
        <v>51</v>
      </c>
      <c r="F450" s="34">
        <v>3</v>
      </c>
      <c r="G450" s="35" t="s">
        <v>1317</v>
      </c>
      <c r="H450" s="36" t="s">
        <v>1318</v>
      </c>
      <c r="I450" s="37">
        <v>4234</v>
      </c>
      <c r="J450" s="43" t="s">
        <v>38</v>
      </c>
      <c r="K450" s="38">
        <v>3</v>
      </c>
      <c r="L450" s="44"/>
      <c r="M450" s="39">
        <f>SUMIFS([1]!Tabla6[SALIDA],[1]!Tabla6[CODIGO],[1]!Tabla2[[#This Row],[CODIGO]])</f>
        <v>0</v>
      </c>
      <c r="N450" s="39">
        <f>SUMIFS([1]!Tabla6[ENTRADA],[1]!Tabla6[CODIGO],[1]!Tabla2[[#This Row],[CODIGO]])</f>
        <v>0</v>
      </c>
      <c r="O450" s="40">
        <f>Tabla29[[#This Row],[DISP]]-Tabla29[[#This Row],[SALIDA]]+Tabla29[[#This Row],[ENTRADA]]</f>
        <v>4234</v>
      </c>
      <c r="P450" s="116">
        <f>IFERROR(VLOOKUP([1]!Tabla2[[#This Row],[CODIGO]],[1]!Tabla6[[CODIGO]:[PRECIO VENTA]],9,0),0)</f>
        <v>0</v>
      </c>
      <c r="Q450" s="114">
        <f>IFERROR([1]!Tabla2[[#This Row],[PRECIO DETAL USD]]*0.8,0)</f>
        <v>0</v>
      </c>
      <c r="R450" s="115">
        <f>IFERROR([1]!Tabla2[[#This Row],[STOCK]]*[1]!Tabla2[[#This Row],[COSTO]],0)</f>
        <v>0</v>
      </c>
    </row>
    <row r="451" spans="1:18" ht="15" customHeight="1" x14ac:dyDescent="0.35">
      <c r="A451" s="43" t="s">
        <v>1319</v>
      </c>
      <c r="B451" s="32" t="s">
        <v>1316</v>
      </c>
      <c r="C451" s="32" t="s">
        <v>1260</v>
      </c>
      <c r="D451" s="33">
        <v>10</v>
      </c>
      <c r="E451" s="33">
        <v>51</v>
      </c>
      <c r="F451" s="34">
        <v>1</v>
      </c>
      <c r="G451" s="35" t="s">
        <v>1320</v>
      </c>
      <c r="H451" s="36" t="s">
        <v>1321</v>
      </c>
      <c r="I451" s="37">
        <v>71</v>
      </c>
      <c r="J451" s="43" t="s">
        <v>38</v>
      </c>
      <c r="K451" s="38">
        <v>3.9</v>
      </c>
      <c r="L451" s="44"/>
      <c r="M451" s="39">
        <f>SUMIFS([1]!Tabla6[SALIDA],[1]!Tabla6[CODIGO],[1]!Tabla2[[#This Row],[CODIGO]])</f>
        <v>0</v>
      </c>
      <c r="N451" s="39">
        <f>SUMIFS([1]!Tabla6[ENTRADA],[1]!Tabla6[CODIGO],[1]!Tabla2[[#This Row],[CODIGO]])</f>
        <v>0</v>
      </c>
      <c r="O451" s="40">
        <f>Tabla29[[#This Row],[DISP]]-Tabla29[[#This Row],[SALIDA]]+Tabla29[[#This Row],[ENTRADA]]</f>
        <v>71</v>
      </c>
      <c r="P451" s="116">
        <f>IFERROR(VLOOKUP([1]!Tabla2[[#This Row],[CODIGO]],[1]!Tabla6[[CODIGO]:[PRECIO VENTA]],9,0),0)</f>
        <v>0</v>
      </c>
      <c r="Q451" s="114">
        <f>IFERROR([1]!Tabla2[[#This Row],[PRECIO DETAL USD]]*0.8,0)</f>
        <v>0</v>
      </c>
      <c r="R451" s="115">
        <f>IFERROR([1]!Tabla2[[#This Row],[STOCK]]*[1]!Tabla2[[#This Row],[COSTO]],0)</f>
        <v>0</v>
      </c>
    </row>
    <row r="452" spans="1:18" ht="15" customHeight="1" x14ac:dyDescent="0.35">
      <c r="A452" s="43" t="s">
        <v>1322</v>
      </c>
      <c r="B452" s="32" t="s">
        <v>1316</v>
      </c>
      <c r="C452" s="32" t="s">
        <v>1260</v>
      </c>
      <c r="D452" s="33">
        <v>10</v>
      </c>
      <c r="E452" s="33">
        <v>51</v>
      </c>
      <c r="F452" s="34">
        <v>2</v>
      </c>
      <c r="G452" s="35" t="s">
        <v>1323</v>
      </c>
      <c r="H452" s="36" t="s">
        <v>1324</v>
      </c>
      <c r="I452" s="37">
        <v>229</v>
      </c>
      <c r="J452" s="43" t="s">
        <v>38</v>
      </c>
      <c r="K452" s="38">
        <v>3.5</v>
      </c>
      <c r="L452" s="44"/>
      <c r="M452" s="39">
        <f>SUMIFS([1]!Tabla6[SALIDA],[1]!Tabla6[CODIGO],[1]!Tabla2[[#This Row],[CODIGO]])</f>
        <v>0</v>
      </c>
      <c r="N452" s="39">
        <f>SUMIFS([1]!Tabla6[ENTRADA],[1]!Tabla6[CODIGO],[1]!Tabla2[[#This Row],[CODIGO]])</f>
        <v>0</v>
      </c>
      <c r="O452" s="40">
        <f>Tabla29[[#This Row],[DISP]]-Tabla29[[#This Row],[SALIDA]]+Tabla29[[#This Row],[ENTRADA]]</f>
        <v>229</v>
      </c>
      <c r="P452" s="116">
        <f>IFERROR(VLOOKUP([1]!Tabla2[[#This Row],[CODIGO]],[1]!Tabla6[[CODIGO]:[PRECIO VENTA]],9,0),0)</f>
        <v>0</v>
      </c>
      <c r="Q452" s="114">
        <f>IFERROR([1]!Tabla2[[#This Row],[PRECIO DETAL USD]]*0.8,0)</f>
        <v>0</v>
      </c>
      <c r="R452" s="115">
        <f>IFERROR([1]!Tabla2[[#This Row],[STOCK]]*[1]!Tabla2[[#This Row],[COSTO]],0)</f>
        <v>0</v>
      </c>
    </row>
    <row r="453" spans="1:18" ht="15" customHeight="1" x14ac:dyDescent="0.35">
      <c r="A453" s="43" t="s">
        <v>1325</v>
      </c>
      <c r="B453" s="32" t="s">
        <v>1326</v>
      </c>
      <c r="C453" s="32" t="s">
        <v>1260</v>
      </c>
      <c r="D453" s="33">
        <v>20</v>
      </c>
      <c r="E453" s="33">
        <v>52</v>
      </c>
      <c r="F453" s="34">
        <v>1</v>
      </c>
      <c r="G453" s="35" t="s">
        <v>1327</v>
      </c>
      <c r="H453" s="36" t="s">
        <v>1328</v>
      </c>
      <c r="I453" s="37">
        <v>34</v>
      </c>
      <c r="J453" s="43" t="s">
        <v>43</v>
      </c>
      <c r="K453" s="38">
        <v>25</v>
      </c>
      <c r="L453" s="44"/>
      <c r="M453" s="39">
        <f>SUMIFS([1]!Tabla6[SALIDA],[1]!Tabla6[CODIGO],[1]!Tabla2[[#This Row],[CODIGO]])</f>
        <v>0</v>
      </c>
      <c r="N453" s="39">
        <f>SUMIFS([1]!Tabla6[ENTRADA],[1]!Tabla6[CODIGO],[1]!Tabla2[[#This Row],[CODIGO]])</f>
        <v>0</v>
      </c>
      <c r="O453" s="40">
        <f>Tabla29[[#This Row],[DISP]]-Tabla29[[#This Row],[SALIDA]]+Tabla29[[#This Row],[ENTRADA]]</f>
        <v>34</v>
      </c>
      <c r="P453" s="116">
        <f>IFERROR(VLOOKUP([1]!Tabla2[[#This Row],[CODIGO]],[1]!Tabla6[[CODIGO]:[PRECIO VENTA]],9,0),0)</f>
        <v>0</v>
      </c>
      <c r="Q453" s="114">
        <f>IFERROR([1]!Tabla2[[#This Row],[PRECIO DETAL USD]]*0.8,0)</f>
        <v>0</v>
      </c>
      <c r="R453" s="115">
        <f>IFERROR([1]!Tabla2[[#This Row],[STOCK]]*[1]!Tabla2[[#This Row],[COSTO]],0)</f>
        <v>0</v>
      </c>
    </row>
    <row r="454" spans="1:18" hidden="1" x14ac:dyDescent="0.35">
      <c r="A454" s="43" t="s">
        <v>1329</v>
      </c>
      <c r="B454" s="32" t="s">
        <v>1326</v>
      </c>
      <c r="C454" s="32" t="s">
        <v>1260</v>
      </c>
      <c r="D454" s="33">
        <v>20</v>
      </c>
      <c r="E454" s="33">
        <v>52</v>
      </c>
      <c r="F454" s="34">
        <v>2</v>
      </c>
      <c r="G454" s="35" t="s">
        <v>1330</v>
      </c>
      <c r="H454" s="36" t="s">
        <v>1331</v>
      </c>
      <c r="I454" s="37">
        <v>0</v>
      </c>
      <c r="J454" s="43" t="s">
        <v>43</v>
      </c>
      <c r="K454" s="38">
        <v>25</v>
      </c>
      <c r="L454" s="44"/>
      <c r="M454" s="39">
        <f>SUMIFS([1]!Tabla6[SALIDA],[1]!Tabla6[CODIGO],[1]!Tabla2[[#This Row],[CODIGO]])</f>
        <v>0</v>
      </c>
      <c r="N454" s="39">
        <f>SUMIFS([1]!Tabla6[ENTRADA],[1]!Tabla6[CODIGO],[1]!Tabla2[[#This Row],[CODIGO]])</f>
        <v>0</v>
      </c>
      <c r="O454" s="40">
        <f>Tabla29[[#This Row],[DISP]]-Tabla29[[#This Row],[SALIDA]]+Tabla29[[#This Row],[ENTRADA]]</f>
        <v>0</v>
      </c>
      <c r="P454" s="116">
        <f>IFERROR(VLOOKUP([1]!Tabla2[[#This Row],[CODIGO]],[1]!Tabla6[[CODIGO]:[PRECIO VENTA]],9,0),0)</f>
        <v>0</v>
      </c>
      <c r="Q454" s="114">
        <f>IFERROR([1]!Tabla2[[#This Row],[PRECIO DETAL USD]]*0.8,0)</f>
        <v>0</v>
      </c>
      <c r="R454" s="115">
        <f>IFERROR([1]!Tabla2[[#This Row],[STOCK]]*[1]!Tabla2[[#This Row],[COSTO]],0)</f>
        <v>0</v>
      </c>
    </row>
    <row r="455" spans="1:18" ht="15" customHeight="1" x14ac:dyDescent="0.35">
      <c r="A455" s="43" t="s">
        <v>1332</v>
      </c>
      <c r="B455" s="32" t="s">
        <v>1333</v>
      </c>
      <c r="C455" s="32" t="s">
        <v>1260</v>
      </c>
      <c r="D455" s="33">
        <v>22</v>
      </c>
      <c r="E455" s="33">
        <v>49</v>
      </c>
      <c r="F455" s="34">
        <v>1</v>
      </c>
      <c r="G455" s="35" t="s">
        <v>1334</v>
      </c>
      <c r="H455" s="36" t="s">
        <v>1333</v>
      </c>
      <c r="I455" s="37">
        <v>30</v>
      </c>
      <c r="J455" s="43" t="s">
        <v>43</v>
      </c>
      <c r="K455" s="38"/>
      <c r="L455" s="44"/>
      <c r="M455" s="39">
        <f>SUMIFS([1]!Tabla6[SALIDA],[1]!Tabla6[CODIGO],[1]!Tabla2[[#This Row],[CODIGO]])</f>
        <v>0</v>
      </c>
      <c r="N455" s="39">
        <f>SUMIFS([1]!Tabla6[ENTRADA],[1]!Tabla6[CODIGO],[1]!Tabla2[[#This Row],[CODIGO]])</f>
        <v>0</v>
      </c>
      <c r="O455" s="40">
        <f>Tabla29[[#This Row],[DISP]]-Tabla29[[#This Row],[SALIDA]]+Tabla29[[#This Row],[ENTRADA]]</f>
        <v>30</v>
      </c>
      <c r="P455" s="116">
        <f>IFERROR(VLOOKUP([1]!Tabla2[[#This Row],[CODIGO]],[1]!Tabla6[[CODIGO]:[PRECIO VENTA]],9,0),0)</f>
        <v>0</v>
      </c>
      <c r="Q455" s="114">
        <f>IFERROR([1]!Tabla2[[#This Row],[PRECIO DETAL USD]]*0.8,0)</f>
        <v>0</v>
      </c>
      <c r="R455" s="115">
        <f>IFERROR([1]!Tabla2[[#This Row],[STOCK]]*[1]!Tabla2[[#This Row],[COSTO]],0)</f>
        <v>0</v>
      </c>
    </row>
    <row r="456" spans="1:18" x14ac:dyDescent="0.35">
      <c r="A456" s="43" t="s">
        <v>1335</v>
      </c>
      <c r="B456" s="32" t="s">
        <v>1336</v>
      </c>
      <c r="C456" s="32" t="s">
        <v>1260</v>
      </c>
      <c r="D456" s="33">
        <v>22</v>
      </c>
      <c r="E456" s="33">
        <v>49</v>
      </c>
      <c r="F456" s="34">
        <v>2</v>
      </c>
      <c r="G456" s="35" t="s">
        <v>1337</v>
      </c>
      <c r="H456" s="126" t="s">
        <v>1338</v>
      </c>
      <c r="I456" s="37">
        <v>50</v>
      </c>
      <c r="J456" s="43" t="s">
        <v>1339</v>
      </c>
      <c r="K456" s="38">
        <v>120</v>
      </c>
      <c r="L456" s="44"/>
      <c r="M456" s="39">
        <f>SUMIFS([1]!Tabla6[SALIDA],[1]!Tabla6[CODIGO],[1]!Tabla2[[#This Row],[CODIGO]])</f>
        <v>0</v>
      </c>
      <c r="N456" s="39">
        <f>SUMIFS([1]!Tabla6[ENTRADA],[1]!Tabla6[CODIGO],[1]!Tabla2[[#This Row],[CODIGO]])</f>
        <v>0</v>
      </c>
      <c r="O456" s="40">
        <f>Tabla29[[#This Row],[DISP]]-Tabla29[[#This Row],[SALIDA]]+Tabla29[[#This Row],[ENTRADA]]</f>
        <v>50</v>
      </c>
      <c r="P456" s="116">
        <f>IFERROR(VLOOKUP([1]!Tabla2[[#This Row],[CODIGO]],[1]!Tabla6[[CODIGO]:[PRECIO VENTA]],9,0),0)</f>
        <v>0</v>
      </c>
      <c r="Q456" s="114">
        <f>IFERROR([1]!Tabla2[[#This Row],[PRECIO DETAL USD]]*0.8,0)</f>
        <v>0</v>
      </c>
      <c r="R456" s="115">
        <f>IFERROR([1]!Tabla2[[#This Row],[STOCK]]*[1]!Tabla2[[#This Row],[COSTO]],0)</f>
        <v>0</v>
      </c>
    </row>
    <row r="457" spans="1:18" hidden="1" x14ac:dyDescent="0.35">
      <c r="A457" s="127"/>
      <c r="B457" s="128"/>
      <c r="C457" s="128"/>
      <c r="D457" s="129"/>
      <c r="E457" s="129"/>
      <c r="F457" s="130"/>
      <c r="G457" s="131"/>
      <c r="H457" s="132"/>
      <c r="I457" s="133"/>
      <c r="J457" s="134"/>
      <c r="K457" s="135"/>
      <c r="L457" s="136"/>
      <c r="M457" s="39">
        <f>SUMIFS([1]!Tabla6[SALIDA],[1]!Tabla6[CODIGO],[1]!Tabla2[[#This Row],[CODIGO]])</f>
        <v>0</v>
      </c>
      <c r="N457" s="39">
        <f>SUMIFS([1]!Tabla6[ENTRADA],[1]!Tabla6[CODIGO],[1]!Tabla2[[#This Row],[CODIGO]])</f>
        <v>0</v>
      </c>
      <c r="O457" s="40">
        <f>Tabla29[[#This Row],[DISP]]-Tabla29[[#This Row],[SALIDA]]+Tabla29[[#This Row],[ENTRADA]]</f>
        <v>0</v>
      </c>
      <c r="P457" s="137">
        <f>IFERROR(VLOOKUP(Tabla29[[#This Row],[CODIGO]],[1]!Tabla6[[CODIGO]:[PRECIO VENTA]],9,0),0)</f>
        <v>0</v>
      </c>
      <c r="Q457" s="85">
        <f>IFERROR(Tabla29[[#This Row],[PRECIO DETAL USD]]*0.8,0)</f>
        <v>0</v>
      </c>
      <c r="R457" s="138">
        <f>IFERROR([1]!Tabla2[[#This Row],[STOCK]]*[1]!Tabla2[[#This Row],[COSTO]],0)</f>
        <v>0</v>
      </c>
    </row>
    <row r="458" spans="1:18" x14ac:dyDescent="0.35">
      <c r="G458" s="139"/>
      <c r="H458" s="139"/>
      <c r="I458" s="139"/>
    </row>
    <row r="1380" spans="7:7" x14ac:dyDescent="0.35">
      <c r="G1380">
        <v>5.45</v>
      </c>
    </row>
    <row r="1851" spans="1:13" x14ac:dyDescent="0.35">
      <c r="A1851" s="141">
        <v>46111</v>
      </c>
    </row>
    <row r="1854" spans="1:13" x14ac:dyDescent="0.35">
      <c r="B1854" t="s">
        <v>1340</v>
      </c>
    </row>
    <row r="1856" spans="1:13" x14ac:dyDescent="0.35">
      <c r="M1856" s="2" t="s">
        <v>1341</v>
      </c>
    </row>
  </sheetData>
  <dataConsolidate/>
  <mergeCells count="1">
    <mergeCell ref="J11:K11"/>
  </mergeCells>
  <conditionalFormatting sqref="C24 C163">
    <cfRule type="expression" priority="304">
      <formula>ISODD(SUMPRODUCT(1/COUNTIF($A$2:$A5,$A$2:$A5)))</formula>
    </cfRule>
  </conditionalFormatting>
  <conditionalFormatting sqref="C207 A221:A223">
    <cfRule type="expression" priority="300">
      <formula>ISODD(SUMPRODUCT(1/COUNTIF($A$2:$A245,$A$2:$A245)))</formula>
    </cfRule>
  </conditionalFormatting>
  <conditionalFormatting sqref="B238:C238 C157">
    <cfRule type="expression" priority="282">
      <formula>ISODD(SUMPRODUCT(1/COUNTIF($A$2:$A160,$A$2:$A160)))</formula>
    </cfRule>
  </conditionalFormatting>
  <conditionalFormatting sqref="C114 C328">
    <cfRule type="expression" priority="296">
      <formula>ISODD(SUMPRODUCT(1/COUNTIF($A$2:$A96,$A$2:$A96)))</formula>
    </cfRule>
  </conditionalFormatting>
  <conditionalFormatting sqref="B237:C237 C155:C156">
    <cfRule type="expression" priority="281">
      <formula>ISODD(SUMPRODUCT(1/COUNTIF($A$2:$A159,$A$2:$A159)))</formula>
    </cfRule>
  </conditionalFormatting>
  <conditionalFormatting sqref="B233:C235 C242:C243">
    <cfRule type="expression" priority="290">
      <formula>ISODD(SUMPRODUCT(1/COUNTIF($A$2:$A232,$A$2:$A232)))</formula>
    </cfRule>
  </conditionalFormatting>
  <conditionalFormatting sqref="A253:C253">
    <cfRule type="expression" priority="288">
      <formula>ISODD(SUMPRODUCT(1/COUNTIF($A$2:$A297,$A$2:$A297)))</formula>
    </cfRule>
  </conditionalFormatting>
  <conditionalFormatting sqref="A259:C262">
    <cfRule type="expression" priority="298">
      <formula>ISODD(SUMPRODUCT(1/COUNTIF($A$2:$A301,$A$2:$A301)))</formula>
    </cfRule>
  </conditionalFormatting>
  <conditionalFormatting sqref="A305:C305 C306 A309:C309">
    <cfRule type="expression" priority="286">
      <formula>ISODD(SUMPRODUCT(1/COUNTIF($A$2:$A261,$A$2:$A261)))</formula>
    </cfRule>
  </conditionalFormatting>
  <conditionalFormatting sqref="B281:C281">
    <cfRule type="expression" priority="295">
      <formula>ISODD(SUMPRODUCT(1/COUNTIF($A$2:$A241,$A$2:$A241)))</formula>
    </cfRule>
  </conditionalFormatting>
  <conditionalFormatting sqref="C13 C19:C23 C97 C181 C225 C202 C261:C262 C378:C379 C386:C387 C420:C423 C325:C326">
    <cfRule type="expression" priority="272">
      <formula>ISODD(SUMPRODUCT(1/COUNTIF($A$2:$A2,$A$2:$A2)))</formula>
    </cfRule>
  </conditionalFormatting>
  <conditionalFormatting sqref="C222">
    <cfRule type="expression" priority="279">
      <formula>ISODD(SUMPRODUCT(1/COUNTIF($A$2:$A250,$A$2:$A250)))</formula>
    </cfRule>
  </conditionalFormatting>
  <conditionalFormatting sqref="C15">
    <cfRule type="expression" priority="278">
      <formula>ISODD(SUMPRODUCT(1/COUNTIF($A$2:$A43,$A$2:$A43)))</formula>
    </cfRule>
  </conditionalFormatting>
  <conditionalFormatting sqref="C16">
    <cfRule type="expression" priority="268">
      <formula>ISODD(SUMPRODUCT(1/COUNTIF($A$2:$A5,$A$2:$A5)))</formula>
    </cfRule>
  </conditionalFormatting>
  <conditionalFormatting sqref="C17:C18 C26 C43 C39 A236 A238 A240:C240 C201 C118:C119 C152:C153 C77:C78 C189:C190 C196:C199 C162">
    <cfRule type="expression" priority="275">
      <formula>ISODD(SUMPRODUCT(1/COUNTIF($A$2:$A3,$A$2:$A3)))</formula>
    </cfRule>
  </conditionalFormatting>
  <conditionalFormatting sqref="C34 B63:C63 C64 C255 C133 C61:C62 C94:C95 C177:C180 C259:C260 C203:C205 C371:C373 C388:C389 C399:C400 C405:C407 C424:C425">
    <cfRule type="expression" priority="277">
      <formula>ISODD(SUMPRODUCT(1/COUNTIF($A$2:$A24,$A$2:$A24)))</formula>
    </cfRule>
  </conditionalFormatting>
  <conditionalFormatting sqref="C27:C30 C25 A230 A232 A234 A226 A228 C191:C194 C426:C431">
    <cfRule type="expression" priority="285">
      <formula>ISODD(SUMPRODUCT(1/COUNTIF($A$2:$A9,$A$2:$A9)))</formula>
    </cfRule>
  </conditionalFormatting>
  <conditionalFormatting sqref="C40:C42 C37:C38 C115 C117 C263 C200 C99:C104 B74:C74 C182:C188">
    <cfRule type="expression" priority="274">
      <formula>ISODD(SUMPRODUCT(1/COUNTIF($A$2:$A24,$A$2:$A24)))</formula>
    </cfRule>
  </conditionalFormatting>
  <conditionalFormatting sqref="C21:C23 C31 C113 C105 B70:C70 C71:C73 C319:C320 C329:C331 C384:C385">
    <cfRule type="expression" priority="269">
      <formula>ISODD(SUMPRODUCT(1/COUNTIF($A$2:$A9,$A$2:$A9)))</formula>
    </cfRule>
  </conditionalFormatting>
  <conditionalFormatting sqref="C32:C33 C272 B237:C237 C131 C65:C69 C108:C110 B230:C231 C256:C258 B282:C286 B296:C304 C312:C315 C350:C356 C438:C439">
    <cfRule type="expression" priority="255">
      <formula>ISODD(SUMPRODUCT(1/COUNTIF($A$2:$A24,$A$2:$A24)))</formula>
    </cfRule>
  </conditionalFormatting>
  <conditionalFormatting sqref="C106 C251 B229:C229 C129:C130 A225:A226 C416:C417 B453:C454">
    <cfRule type="expression" priority="270">
      <formula>ISODD(SUMPRODUCT(1/COUNTIF($A$2:$A99,$A$2:$A99)))</formula>
    </cfRule>
  </conditionalFormatting>
  <conditionalFormatting sqref="C44:C47 C93 C317 A288:C288 C151 C223 C132 C111:C112 C174:C176 B227:C228 C321:C322 B289:C295 A289:A304 C339:C340 C344:C349 C358:C364 C367:C369 C393:C397 C401:C404 C408:C409 C435:C436">
    <cfRule type="expression" priority="289">
      <formula>ISODD(SUMPRODUCT(1/COUNTIF($A$2:$A35,$A$2:$A35)))</formula>
    </cfRule>
  </conditionalFormatting>
  <conditionalFormatting sqref="C35:C36">
    <cfRule type="expression" priority="273">
      <formula>ISODD(SUMPRODUCT(1/COUNTIF($A$2:$A17,$A$2:$A17)))</formula>
    </cfRule>
  </conditionalFormatting>
  <conditionalFormatting sqref="C273 C287 C310:C311 C410:C412">
    <cfRule type="expression" priority="276">
      <formula>ISODD(SUMPRODUCT(1/COUNTIF($A$2:$A270,$A$2:$A270)))</formula>
    </cfRule>
  </conditionalFormatting>
  <conditionalFormatting sqref="C107 C254 C224 A227:A241">
    <cfRule type="expression" priority="280">
      <formula>ISODD(SUMPRODUCT(1/COUNTIF($A$2:$A102,$A$2:$A102)))</formula>
    </cfRule>
  </conditionalFormatting>
  <conditionalFormatting sqref="C96">
    <cfRule type="expression" priority="284">
      <formula>ISODD(SUMPRODUCT(1/COUNTIF($A$2:$A116,$A$2:$A116)))</formula>
    </cfRule>
  </conditionalFormatting>
  <conditionalFormatting sqref="B239:C239">
    <cfRule type="expression" priority="283">
      <formula>ISODD(SUMPRODUCT(1/COUNTIF($A$2:$A241,$A$2:$A241)))</formula>
    </cfRule>
  </conditionalFormatting>
  <conditionalFormatting sqref="C14">
    <cfRule type="expression" priority="302">
      <formula>ISODD(SUMPRODUCT(1/COUNTIF($A$2:$A43,$A$2:$A43)))</formula>
    </cfRule>
  </conditionalFormatting>
  <conditionalFormatting sqref="C241">
    <cfRule type="expression" priority="303">
      <formula>ISODD(SUMPRODUCT(1/COUNTIF($A$2:$A251,$A$2:$A251)))</formula>
    </cfRule>
  </conditionalFormatting>
  <conditionalFormatting sqref="C244 C248:C249">
    <cfRule type="expression" priority="287">
      <formula>ISODD(SUMPRODUCT(1/COUNTIF($A$2:$A197,$A$2:$A197)))</formula>
    </cfRule>
  </conditionalFormatting>
  <conditionalFormatting sqref="C250 A281:A286">
    <cfRule type="expression" priority="301">
      <formula>ISODD(SUMPRODUCT(1/COUNTIF($A$2:$A205,$A$2:$A205)))</formula>
    </cfRule>
  </conditionalFormatting>
  <conditionalFormatting sqref="C252">
    <cfRule type="expression" priority="203">
      <formula>ISODD(SUMPRODUCT(1/COUNTIF($A$2:$A302,$A$2:$A302)))</formula>
    </cfRule>
  </conditionalFormatting>
  <conditionalFormatting sqref="C116">
    <cfRule type="expression" priority="297">
      <formula>ISODD(SUMPRODUCT(1/COUNTIF($A$2:$A65,$A$2:$A65)))</formula>
    </cfRule>
  </conditionalFormatting>
  <conditionalFormatting sqref="C311">
    <cfRule type="expression" priority="299">
      <formula>ISODD(SUMPRODUCT(1/COUNTIF($A$2:$A320,$A$2:$A320)))</formula>
    </cfRule>
  </conditionalFormatting>
  <conditionalFormatting sqref="G25">
    <cfRule type="expression" priority="271">
      <formula>$C2&lt;&gt;$C3</formula>
    </cfRule>
  </conditionalFormatting>
  <conditionalFormatting sqref="G51">
    <cfRule type="duplicateValues" dxfId="323" priority="256"/>
    <cfRule type="duplicateValues" dxfId="322" priority="257"/>
    <cfRule type="duplicateValues" dxfId="321" priority="258"/>
    <cfRule type="duplicateValues" dxfId="320" priority="260"/>
  </conditionalFormatting>
  <conditionalFormatting sqref="G54">
    <cfRule type="duplicateValues" dxfId="319" priority="262"/>
    <cfRule type="duplicateValues" dxfId="318" priority="263"/>
    <cfRule type="duplicateValues" dxfId="317" priority="264"/>
    <cfRule type="duplicateValues" dxfId="316" priority="265"/>
  </conditionalFormatting>
  <conditionalFormatting sqref="G94">
    <cfRule type="duplicateValues" dxfId="315" priority="246"/>
    <cfRule type="duplicateValues" dxfId="314" priority="247"/>
    <cfRule type="duplicateValues" dxfId="313" priority="248"/>
    <cfRule type="duplicateValues" dxfId="312" priority="249"/>
  </conditionalFormatting>
  <conditionalFormatting sqref="G95">
    <cfRule type="duplicateValues" dxfId="311" priority="242"/>
    <cfRule type="duplicateValues" dxfId="310" priority="243"/>
    <cfRule type="duplicateValues" dxfId="309" priority="244"/>
    <cfRule type="duplicateValues" dxfId="308" priority="245"/>
  </conditionalFormatting>
  <conditionalFormatting sqref="G97">
    <cfRule type="duplicateValues" dxfId="307" priority="238"/>
    <cfRule type="duplicateValues" dxfId="306" priority="239"/>
    <cfRule type="duplicateValues" dxfId="305" priority="240"/>
    <cfRule type="duplicateValues" dxfId="304" priority="241"/>
  </conditionalFormatting>
  <conditionalFormatting sqref="G106:G110">
    <cfRule type="duplicateValues" dxfId="303" priority="251"/>
    <cfRule type="duplicateValues" dxfId="302" priority="252"/>
    <cfRule type="duplicateValues" dxfId="301" priority="253"/>
  </conditionalFormatting>
  <conditionalFormatting sqref="G179:G181">
    <cfRule type="duplicateValues" dxfId="300" priority="233"/>
    <cfRule type="duplicateValues" dxfId="299" priority="234"/>
    <cfRule type="duplicateValues" dxfId="298" priority="235"/>
  </conditionalFormatting>
  <conditionalFormatting sqref="G188">
    <cfRule type="duplicateValues" dxfId="297" priority="193"/>
    <cfRule type="duplicateValues" dxfId="296" priority="194"/>
    <cfRule type="duplicateValues" dxfId="295" priority="195"/>
    <cfRule type="duplicateValues" dxfId="294" priority="196"/>
  </conditionalFormatting>
  <conditionalFormatting sqref="G200">
    <cfRule type="duplicateValues" dxfId="293" priority="229"/>
    <cfRule type="duplicateValues" dxfId="292" priority="230"/>
    <cfRule type="duplicateValues" dxfId="291" priority="231"/>
  </conditionalFormatting>
  <conditionalFormatting sqref="G206">
    <cfRule type="duplicateValues" dxfId="290" priority="209"/>
    <cfRule type="duplicateValues" dxfId="289" priority="210"/>
    <cfRule type="duplicateValues" dxfId="288" priority="211"/>
    <cfRule type="duplicateValues" dxfId="287" priority="212"/>
  </conditionalFormatting>
  <conditionalFormatting sqref="G224">
    <cfRule type="duplicateValues" dxfId="286" priority="188"/>
    <cfRule type="duplicateValues" dxfId="285" priority="189"/>
    <cfRule type="duplicateValues" dxfId="284" priority="190"/>
    <cfRule type="duplicateValues" dxfId="283" priority="191"/>
  </conditionalFormatting>
  <conditionalFormatting sqref="G241">
    <cfRule type="duplicateValues" dxfId="282" priority="224"/>
    <cfRule type="duplicateValues" dxfId="281" priority="225"/>
    <cfRule type="duplicateValues" dxfId="280" priority="226"/>
  </conditionalFormatting>
  <conditionalFormatting sqref="G242">
    <cfRule type="duplicateValues" dxfId="279" priority="220"/>
    <cfRule type="duplicateValues" dxfId="278" priority="221"/>
    <cfRule type="duplicateValues" dxfId="277" priority="222"/>
  </conditionalFormatting>
  <conditionalFormatting sqref="G252">
    <cfRule type="duplicateValues" dxfId="276" priority="198"/>
    <cfRule type="duplicateValues" dxfId="275" priority="199"/>
    <cfRule type="duplicateValues" dxfId="274" priority="200"/>
    <cfRule type="duplicateValues" dxfId="273" priority="201"/>
  </conditionalFormatting>
  <conditionalFormatting sqref="G254">
    <cfRule type="duplicateValues" dxfId="272" priority="204"/>
    <cfRule type="duplicateValues" dxfId="271" priority="205"/>
    <cfRule type="duplicateValues" dxfId="270" priority="206"/>
    <cfRule type="duplicateValues" dxfId="269" priority="207"/>
  </conditionalFormatting>
  <conditionalFormatting sqref="G263">
    <cfRule type="duplicateValues" dxfId="268" priority="215"/>
    <cfRule type="duplicateValues" dxfId="267" priority="216"/>
    <cfRule type="duplicateValues" dxfId="266" priority="217"/>
    <cfRule type="duplicateValues" dxfId="265" priority="218"/>
  </conditionalFormatting>
  <conditionalFormatting sqref="G264:G272 G165:G178 G201:G205 G182:G187 G274:G286 G243:G251 G253 G288:G304 G225:G240 G207:G223 G255:G262 G189:G199">
    <cfRule type="duplicateValues" dxfId="264" priority="291"/>
    <cfRule type="duplicateValues" dxfId="263" priority="292"/>
    <cfRule type="duplicateValues" dxfId="262" priority="293"/>
  </conditionalFormatting>
  <conditionalFormatting sqref="G273">
    <cfRule type="duplicateValues" dxfId="261" priority="179"/>
    <cfRule type="duplicateValues" dxfId="260" priority="180"/>
    <cfRule type="duplicateValues" dxfId="259" priority="181"/>
    <cfRule type="duplicateValues" dxfId="258" priority="182"/>
  </conditionalFormatting>
  <conditionalFormatting sqref="G287">
    <cfRule type="duplicateValues" dxfId="257" priority="183"/>
    <cfRule type="duplicateValues" dxfId="256" priority="184"/>
    <cfRule type="duplicateValues" dxfId="255" priority="185"/>
    <cfRule type="duplicateValues" dxfId="254" priority="186"/>
  </conditionalFormatting>
  <conditionalFormatting sqref="H51">
    <cfRule type="duplicateValues" dxfId="253" priority="259"/>
  </conditionalFormatting>
  <conditionalFormatting sqref="H54">
    <cfRule type="duplicateValues" dxfId="252" priority="266"/>
  </conditionalFormatting>
  <conditionalFormatting sqref="H55">
    <cfRule type="duplicateValues" dxfId="251" priority="261"/>
  </conditionalFormatting>
  <conditionalFormatting sqref="H94:H95">
    <cfRule type="duplicateValues" dxfId="250" priority="250"/>
  </conditionalFormatting>
  <conditionalFormatting sqref="H106:H110">
    <cfRule type="duplicateValues" dxfId="249" priority="254"/>
  </conditionalFormatting>
  <conditionalFormatting sqref="H179:H181">
    <cfRule type="duplicateValues" dxfId="248" priority="232"/>
  </conditionalFormatting>
  <conditionalFormatting sqref="H188">
    <cfRule type="duplicateValues" dxfId="247" priority="197"/>
  </conditionalFormatting>
  <conditionalFormatting sqref="H200">
    <cfRule type="duplicateValues" dxfId="246" priority="228"/>
  </conditionalFormatting>
  <conditionalFormatting sqref="H206">
    <cfRule type="duplicateValues" dxfId="245" priority="213"/>
  </conditionalFormatting>
  <conditionalFormatting sqref="H224">
    <cfRule type="duplicateValues" dxfId="244" priority="192"/>
  </conditionalFormatting>
  <conditionalFormatting sqref="H241">
    <cfRule type="duplicateValues" dxfId="243" priority="236"/>
  </conditionalFormatting>
  <conditionalFormatting sqref="H242">
    <cfRule type="duplicateValues" dxfId="242" priority="223"/>
  </conditionalFormatting>
  <conditionalFormatting sqref="H252">
    <cfRule type="duplicateValues" dxfId="241" priority="202"/>
  </conditionalFormatting>
  <conditionalFormatting sqref="H254">
    <cfRule type="duplicateValues" dxfId="240" priority="208"/>
  </conditionalFormatting>
  <conditionalFormatting sqref="H263">
    <cfRule type="duplicateValues" dxfId="239" priority="219"/>
  </conditionalFormatting>
  <conditionalFormatting sqref="H264:H272 H201:H205 H182:H187 H274:H286 H243:H251 H253 H288:H304 H225:H241 H165:H178 H207:H223 H255:H262 H189:H199">
    <cfRule type="duplicateValues" dxfId="238" priority="294"/>
  </conditionalFormatting>
  <conditionalFormatting sqref="H273">
    <cfRule type="duplicateValues" dxfId="237" priority="214"/>
  </conditionalFormatting>
  <conditionalFormatting sqref="H287">
    <cfRule type="duplicateValues" dxfId="236" priority="187"/>
  </conditionalFormatting>
  <conditionalFormatting sqref="K14:K303 K305:K331">
    <cfRule type="cellIs" dxfId="235" priority="237" operator="equal">
      <formula>0</formula>
    </cfRule>
  </conditionalFormatting>
  <conditionalFormatting sqref="P1:P12 P457:P1048576 P15:P136 P164:P331">
    <cfRule type="cellIs" dxfId="234" priority="267" operator="greaterThan">
      <formula>0</formula>
    </cfRule>
  </conditionalFormatting>
  <conditionalFormatting sqref="P14:P136 P164:P331">
    <cfRule type="cellIs" dxfId="233" priority="178" operator="greaterThan">
      <formula>0.01</formula>
    </cfRule>
    <cfRule type="cellIs" dxfId="232" priority="227" operator="greaterThan">
      <formula>0.01</formula>
    </cfRule>
  </conditionalFormatting>
  <conditionalFormatting sqref="G315">
    <cfRule type="duplicateValues" dxfId="231" priority="173"/>
  </conditionalFormatting>
  <conditionalFormatting sqref="G315">
    <cfRule type="duplicateValues" dxfId="230" priority="174"/>
    <cfRule type="duplicateValues" dxfId="229" priority="175"/>
  </conditionalFormatting>
  <conditionalFormatting sqref="G315">
    <cfRule type="duplicateValues" dxfId="228" priority="176"/>
  </conditionalFormatting>
  <conditionalFormatting sqref="H315">
    <cfRule type="duplicateValues" dxfId="227" priority="177"/>
  </conditionalFormatting>
  <conditionalFormatting sqref="H56">
    <cfRule type="duplicateValues" dxfId="226" priority="172"/>
  </conditionalFormatting>
  <conditionalFormatting sqref="L22:L23">
    <cfRule type="cellIs" dxfId="225" priority="171" operator="equal">
      <formula>0</formula>
    </cfRule>
  </conditionalFormatting>
  <conditionalFormatting sqref="L27">
    <cfRule type="cellIs" dxfId="224" priority="170" operator="equal">
      <formula>0</formula>
    </cfRule>
  </conditionalFormatting>
  <conditionalFormatting sqref="L28">
    <cfRule type="cellIs" dxfId="223" priority="169" operator="equal">
      <formula>0</formula>
    </cfRule>
  </conditionalFormatting>
  <conditionalFormatting sqref="L29:L30">
    <cfRule type="cellIs" dxfId="222" priority="168" operator="equal">
      <formula>0</formula>
    </cfRule>
  </conditionalFormatting>
  <conditionalFormatting sqref="L32">
    <cfRule type="cellIs" dxfId="221" priority="167" operator="equal">
      <formula>0</formula>
    </cfRule>
  </conditionalFormatting>
  <conditionalFormatting sqref="L37">
    <cfRule type="cellIs" dxfId="220" priority="166" operator="equal">
      <formula>0</formula>
    </cfRule>
  </conditionalFormatting>
  <conditionalFormatting sqref="L47">
    <cfRule type="cellIs" dxfId="219" priority="165" operator="equal">
      <formula>0</formula>
    </cfRule>
  </conditionalFormatting>
  <conditionalFormatting sqref="L49">
    <cfRule type="cellIs" dxfId="218" priority="164" operator="equal">
      <formula>0</formula>
    </cfRule>
  </conditionalFormatting>
  <conditionalFormatting sqref="L54:L55">
    <cfRule type="cellIs" dxfId="217" priority="163" operator="equal">
      <formula>0</formula>
    </cfRule>
  </conditionalFormatting>
  <conditionalFormatting sqref="L64:L69">
    <cfRule type="cellIs" dxfId="216" priority="162" operator="equal">
      <formula>0</formula>
    </cfRule>
  </conditionalFormatting>
  <conditionalFormatting sqref="L310:L311">
    <cfRule type="cellIs" dxfId="215" priority="132" operator="equal">
      <formula>0</formula>
    </cfRule>
  </conditionalFormatting>
  <conditionalFormatting sqref="L71:L72">
    <cfRule type="cellIs" dxfId="214" priority="161" operator="equal">
      <formula>0</formula>
    </cfRule>
  </conditionalFormatting>
  <conditionalFormatting sqref="L77:L79">
    <cfRule type="cellIs" dxfId="213" priority="160" operator="equal">
      <formula>0</formula>
    </cfRule>
  </conditionalFormatting>
  <conditionalFormatting sqref="L80">
    <cfRule type="cellIs" dxfId="212" priority="159" operator="equal">
      <formula>0</formula>
    </cfRule>
  </conditionalFormatting>
  <conditionalFormatting sqref="L106:L110">
    <cfRule type="cellIs" dxfId="211" priority="158" operator="equal">
      <formula>0</formula>
    </cfRule>
  </conditionalFormatting>
  <conditionalFormatting sqref="L113:L114">
    <cfRule type="cellIs" dxfId="210" priority="157" operator="equal">
      <formula>0</formula>
    </cfRule>
  </conditionalFormatting>
  <conditionalFormatting sqref="L189:L194">
    <cfRule type="cellIs" dxfId="209" priority="156" operator="equal">
      <formula>0</formula>
    </cfRule>
  </conditionalFormatting>
  <conditionalFormatting sqref="L199">
    <cfRule type="cellIs" dxfId="208" priority="155" operator="equal">
      <formula>0</formula>
    </cfRule>
  </conditionalFormatting>
  <conditionalFormatting sqref="L243">
    <cfRule type="cellIs" dxfId="207" priority="154" operator="equal">
      <formula>0</formula>
    </cfRule>
  </conditionalFormatting>
  <conditionalFormatting sqref="L246:L250">
    <cfRule type="cellIs" dxfId="206" priority="153" operator="equal">
      <formula>0</formula>
    </cfRule>
  </conditionalFormatting>
  <conditionalFormatting sqref="L253">
    <cfRule type="cellIs" dxfId="205" priority="152" operator="equal">
      <formula>0</formula>
    </cfRule>
  </conditionalFormatting>
  <conditionalFormatting sqref="L256">
    <cfRule type="cellIs" dxfId="204" priority="151" operator="equal">
      <formula>0</formula>
    </cfRule>
  </conditionalFormatting>
  <conditionalFormatting sqref="L264">
    <cfRule type="cellIs" dxfId="203" priority="150" operator="equal">
      <formula>0</formula>
    </cfRule>
  </conditionalFormatting>
  <conditionalFormatting sqref="L265">
    <cfRule type="cellIs" dxfId="202" priority="149" operator="equal">
      <formula>0</formula>
    </cfRule>
  </conditionalFormatting>
  <conditionalFormatting sqref="L266">
    <cfRule type="cellIs" dxfId="201" priority="148" operator="equal">
      <formula>0</formula>
    </cfRule>
  </conditionalFormatting>
  <conditionalFormatting sqref="L270">
    <cfRule type="cellIs" dxfId="200" priority="147" operator="equal">
      <formula>0</formula>
    </cfRule>
  </conditionalFormatting>
  <conditionalFormatting sqref="L269">
    <cfRule type="cellIs" dxfId="199" priority="146" operator="equal">
      <formula>0</formula>
    </cfRule>
  </conditionalFormatting>
  <conditionalFormatting sqref="L274:L276">
    <cfRule type="cellIs" dxfId="198" priority="145" operator="equal">
      <formula>0</formula>
    </cfRule>
  </conditionalFormatting>
  <conditionalFormatting sqref="L277">
    <cfRule type="cellIs" dxfId="197" priority="144" operator="equal">
      <formula>0</formula>
    </cfRule>
  </conditionalFormatting>
  <conditionalFormatting sqref="L283">
    <cfRule type="cellIs" dxfId="196" priority="143" operator="equal">
      <formula>0</formula>
    </cfRule>
  </conditionalFormatting>
  <conditionalFormatting sqref="L286">
    <cfRule type="cellIs" dxfId="195" priority="142" operator="equal">
      <formula>0</formula>
    </cfRule>
  </conditionalFormatting>
  <conditionalFormatting sqref="L288:L292">
    <cfRule type="cellIs" dxfId="194" priority="141" operator="equal">
      <formula>0</formula>
    </cfRule>
  </conditionalFormatting>
  <conditionalFormatting sqref="L294">
    <cfRule type="cellIs" dxfId="193" priority="140" operator="equal">
      <formula>0</formula>
    </cfRule>
  </conditionalFormatting>
  <conditionalFormatting sqref="L295">
    <cfRule type="cellIs" dxfId="192" priority="139" operator="equal">
      <formula>0</formula>
    </cfRule>
  </conditionalFormatting>
  <conditionalFormatting sqref="L296:L298">
    <cfRule type="cellIs" dxfId="191" priority="138" operator="equal">
      <formula>0</formula>
    </cfRule>
  </conditionalFormatting>
  <conditionalFormatting sqref="K304">
    <cfRule type="cellIs" dxfId="190" priority="137" operator="equal">
      <formula>0</formula>
    </cfRule>
  </conditionalFormatting>
  <conditionalFormatting sqref="L304">
    <cfRule type="cellIs" dxfId="189" priority="136" operator="equal">
      <formula>0</formula>
    </cfRule>
  </conditionalFormatting>
  <conditionalFormatting sqref="L302">
    <cfRule type="cellIs" dxfId="188" priority="135" operator="equal">
      <formula>0</formula>
    </cfRule>
  </conditionalFormatting>
  <conditionalFormatting sqref="L303">
    <cfRule type="cellIs" dxfId="187" priority="134" operator="equal">
      <formula>0</formula>
    </cfRule>
  </conditionalFormatting>
  <conditionalFormatting sqref="L306">
    <cfRule type="cellIs" dxfId="186" priority="133" operator="equal">
      <formula>0</formula>
    </cfRule>
  </conditionalFormatting>
  <conditionalFormatting sqref="L43">
    <cfRule type="cellIs" dxfId="185" priority="131" operator="equal">
      <formula>0</formula>
    </cfRule>
  </conditionalFormatting>
  <conditionalFormatting sqref="L46">
    <cfRule type="cellIs" dxfId="184" priority="130" operator="equal">
      <formula>0</formula>
    </cfRule>
  </conditionalFormatting>
  <conditionalFormatting sqref="G92">
    <cfRule type="duplicateValues" dxfId="183" priority="125"/>
  </conditionalFormatting>
  <conditionalFormatting sqref="G92">
    <cfRule type="duplicateValues" dxfId="182" priority="126"/>
    <cfRule type="duplicateValues" dxfId="181" priority="127"/>
  </conditionalFormatting>
  <conditionalFormatting sqref="G92">
    <cfRule type="duplicateValues" dxfId="180" priority="128"/>
  </conditionalFormatting>
  <conditionalFormatting sqref="H92">
    <cfRule type="duplicateValues" dxfId="179" priority="129"/>
  </conditionalFormatting>
  <conditionalFormatting sqref="G147:G148 G137:G145 G150:G163">
    <cfRule type="duplicateValues" dxfId="178" priority="120"/>
  </conditionalFormatting>
  <conditionalFormatting sqref="K137:K163">
    <cfRule type="cellIs" dxfId="177" priority="118" operator="equal">
      <formula>0</formula>
    </cfRule>
  </conditionalFormatting>
  <conditionalFormatting sqref="P137:P163">
    <cfRule type="cellIs" dxfId="176" priority="119" operator="greaterThan">
      <formula>0</formula>
    </cfRule>
  </conditionalFormatting>
  <conditionalFormatting sqref="P137:P163">
    <cfRule type="cellIs" dxfId="175" priority="116" operator="greaterThan">
      <formula>0.01</formula>
    </cfRule>
    <cfRule type="cellIs" dxfId="174" priority="117" operator="greaterThan">
      <formula>0.01</formula>
    </cfRule>
  </conditionalFormatting>
  <conditionalFormatting sqref="G149">
    <cfRule type="duplicateValues" dxfId="173" priority="111"/>
  </conditionalFormatting>
  <conditionalFormatting sqref="G149">
    <cfRule type="duplicateValues" dxfId="172" priority="112"/>
    <cfRule type="duplicateValues" dxfId="171" priority="113"/>
  </conditionalFormatting>
  <conditionalFormatting sqref="G149">
    <cfRule type="duplicateValues" dxfId="170" priority="114"/>
  </conditionalFormatting>
  <conditionalFormatting sqref="H149">
    <cfRule type="duplicateValues" dxfId="169" priority="115"/>
  </conditionalFormatting>
  <conditionalFormatting sqref="L138">
    <cfRule type="cellIs" dxfId="168" priority="110" operator="equal">
      <formula>0</formula>
    </cfRule>
  </conditionalFormatting>
  <conditionalFormatting sqref="G146">
    <cfRule type="duplicateValues" dxfId="167" priority="105"/>
  </conditionalFormatting>
  <conditionalFormatting sqref="G146">
    <cfRule type="duplicateValues" dxfId="166" priority="106"/>
    <cfRule type="duplicateValues" dxfId="165" priority="107"/>
  </conditionalFormatting>
  <conditionalFormatting sqref="G146">
    <cfRule type="duplicateValues" dxfId="164" priority="108"/>
  </conditionalFormatting>
  <conditionalFormatting sqref="H146">
    <cfRule type="duplicateValues" dxfId="163" priority="109"/>
  </conditionalFormatting>
  <conditionalFormatting sqref="H147:H148 H150:H163 H137:H145">
    <cfRule type="duplicateValues" dxfId="162" priority="121"/>
  </conditionalFormatting>
  <conditionalFormatting sqref="G147:G148 G137:G145 G150:G163">
    <cfRule type="duplicateValues" dxfId="161" priority="122"/>
    <cfRule type="duplicateValues" dxfId="160" priority="123"/>
  </conditionalFormatting>
  <conditionalFormatting sqref="G147:G148">
    <cfRule type="duplicateValues" dxfId="159" priority="124"/>
  </conditionalFormatting>
  <conditionalFormatting sqref="G457:G1048576 G305:G314 G48:G50 G96 G98:G105 G52:G53 G164 G93 G13:G31 G55:G91 G111:G130 G133:G136 G316:G331">
    <cfRule type="duplicateValues" dxfId="158" priority="305"/>
  </conditionalFormatting>
  <conditionalFormatting sqref="L434:L438">
    <cfRule type="cellIs" dxfId="157" priority="14" operator="equal">
      <formula>0</formula>
    </cfRule>
  </conditionalFormatting>
  <conditionalFormatting sqref="L441:L443">
    <cfRule type="cellIs" dxfId="156" priority="13" operator="equal">
      <formula>0</formula>
    </cfRule>
  </conditionalFormatting>
  <conditionalFormatting sqref="G332 G404 G432:G456">
    <cfRule type="duplicateValues" dxfId="155" priority="95"/>
  </conditionalFormatting>
  <conditionalFormatting sqref="G333 G335:G340 G342:G356 G358:G364 G366:G369 G371:G373 G375:G376 G378:G379 G381:G382 G384:G390 G392:G397 G399:G403">
    <cfRule type="duplicateValues" dxfId="154" priority="90"/>
    <cfRule type="duplicateValues" dxfId="153" priority="91"/>
    <cfRule type="duplicateValues" dxfId="152" priority="92"/>
  </conditionalFormatting>
  <conditionalFormatting sqref="G334">
    <cfRule type="duplicateValues" dxfId="151" priority="83"/>
    <cfRule type="duplicateValues" dxfId="150" priority="84"/>
    <cfRule type="duplicateValues" dxfId="149" priority="85"/>
    <cfRule type="duplicateValues" dxfId="148" priority="86"/>
  </conditionalFormatting>
  <conditionalFormatting sqref="G341">
    <cfRule type="duplicateValues" dxfId="147" priority="78"/>
    <cfRule type="duplicateValues" dxfId="146" priority="79"/>
    <cfRule type="duplicateValues" dxfId="145" priority="80"/>
    <cfRule type="duplicateValues" dxfId="144" priority="81"/>
  </conditionalFormatting>
  <conditionalFormatting sqref="G357">
    <cfRule type="duplicateValues" dxfId="143" priority="73"/>
    <cfRule type="duplicateValues" dxfId="142" priority="74"/>
    <cfRule type="duplicateValues" dxfId="141" priority="75"/>
    <cfRule type="duplicateValues" dxfId="140" priority="76"/>
  </conditionalFormatting>
  <conditionalFormatting sqref="G365">
    <cfRule type="duplicateValues" dxfId="139" priority="68"/>
    <cfRule type="duplicateValues" dxfId="138" priority="69"/>
    <cfRule type="duplicateValues" dxfId="137" priority="70"/>
    <cfRule type="duplicateValues" dxfId="136" priority="71"/>
  </conditionalFormatting>
  <conditionalFormatting sqref="G370">
    <cfRule type="duplicateValues" dxfId="135" priority="63"/>
    <cfRule type="duplicateValues" dxfId="134" priority="64"/>
    <cfRule type="duplicateValues" dxfId="133" priority="65"/>
    <cfRule type="duplicateValues" dxfId="132" priority="66"/>
  </conditionalFormatting>
  <conditionalFormatting sqref="G374">
    <cfRule type="duplicateValues" dxfId="131" priority="58"/>
    <cfRule type="duplicateValues" dxfId="130" priority="59"/>
    <cfRule type="duplicateValues" dxfId="129" priority="60"/>
    <cfRule type="duplicateValues" dxfId="128" priority="61"/>
  </conditionalFormatting>
  <conditionalFormatting sqref="G377">
    <cfRule type="duplicateValues" dxfId="127" priority="53"/>
    <cfRule type="duplicateValues" dxfId="126" priority="54"/>
    <cfRule type="duplicateValues" dxfId="125" priority="55"/>
    <cfRule type="duplicateValues" dxfId="124" priority="56"/>
  </conditionalFormatting>
  <conditionalFormatting sqref="G380">
    <cfRule type="duplicateValues" dxfId="123" priority="48"/>
    <cfRule type="duplicateValues" dxfId="122" priority="49"/>
    <cfRule type="duplicateValues" dxfId="121" priority="50"/>
    <cfRule type="duplicateValues" dxfId="120" priority="51"/>
  </conditionalFormatting>
  <conditionalFormatting sqref="G383">
    <cfRule type="duplicateValues" dxfId="119" priority="43"/>
    <cfRule type="duplicateValues" dxfId="118" priority="44"/>
    <cfRule type="duplicateValues" dxfId="117" priority="45"/>
    <cfRule type="duplicateValues" dxfId="116" priority="46"/>
  </conditionalFormatting>
  <conditionalFormatting sqref="G391">
    <cfRule type="duplicateValues" dxfId="115" priority="38"/>
    <cfRule type="duplicateValues" dxfId="114" priority="39"/>
    <cfRule type="duplicateValues" dxfId="113" priority="40"/>
    <cfRule type="duplicateValues" dxfId="112" priority="41"/>
  </conditionalFormatting>
  <conditionalFormatting sqref="G398">
    <cfRule type="duplicateValues" dxfId="111" priority="33"/>
    <cfRule type="duplicateValues" dxfId="110" priority="34"/>
    <cfRule type="duplicateValues" dxfId="109" priority="35"/>
    <cfRule type="duplicateValues" dxfId="108" priority="36"/>
  </conditionalFormatting>
  <conditionalFormatting sqref="G420">
    <cfRule type="duplicateValues" dxfId="107" priority="28"/>
    <cfRule type="duplicateValues" dxfId="106" priority="29"/>
    <cfRule type="duplicateValues" dxfId="105" priority="30"/>
    <cfRule type="duplicateValues" dxfId="104" priority="31"/>
  </conditionalFormatting>
  <conditionalFormatting sqref="G421:G431 G405:G419">
    <cfRule type="duplicateValues" dxfId="103" priority="100"/>
    <cfRule type="duplicateValues" dxfId="102" priority="101"/>
    <cfRule type="duplicateValues" dxfId="101" priority="102"/>
    <cfRule type="duplicateValues" dxfId="100" priority="103"/>
  </conditionalFormatting>
  <conditionalFormatting sqref="G332 G404 G432:G456">
    <cfRule type="duplicateValues" dxfId="99" priority="96"/>
    <cfRule type="duplicateValues" dxfId="98" priority="97"/>
  </conditionalFormatting>
  <conditionalFormatting sqref="G404 G432:G456 G332">
    <cfRule type="duplicateValues" dxfId="97" priority="98"/>
  </conditionalFormatting>
  <conditionalFormatting sqref="H333 H335:H340 H342:H356 H358:H364 H366:H369 H371:H373 H375:H376 H378:H379 H381:H382 H384:H390 H392:H397 H399:H403">
    <cfRule type="duplicateValues" dxfId="96" priority="93"/>
  </conditionalFormatting>
  <conditionalFormatting sqref="H334">
    <cfRule type="duplicateValues" dxfId="95" priority="87"/>
  </conditionalFormatting>
  <conditionalFormatting sqref="H341">
    <cfRule type="duplicateValues" dxfId="94" priority="82"/>
  </conditionalFormatting>
  <conditionalFormatting sqref="H357">
    <cfRule type="duplicateValues" dxfId="93" priority="77"/>
  </conditionalFormatting>
  <conditionalFormatting sqref="H365">
    <cfRule type="duplicateValues" dxfId="92" priority="72"/>
  </conditionalFormatting>
  <conditionalFormatting sqref="H370">
    <cfRule type="duplicateValues" dxfId="91" priority="67"/>
  </conditionalFormatting>
  <conditionalFormatting sqref="H374">
    <cfRule type="duplicateValues" dxfId="90" priority="62"/>
  </conditionalFormatting>
  <conditionalFormatting sqref="H377">
    <cfRule type="duplicateValues" dxfId="89" priority="57"/>
  </conditionalFormatting>
  <conditionalFormatting sqref="H380">
    <cfRule type="duplicateValues" dxfId="88" priority="52"/>
  </conditionalFormatting>
  <conditionalFormatting sqref="H383">
    <cfRule type="duplicateValues" dxfId="87" priority="47"/>
  </conditionalFormatting>
  <conditionalFormatting sqref="H391">
    <cfRule type="duplicateValues" dxfId="86" priority="42"/>
  </conditionalFormatting>
  <conditionalFormatting sqref="H398">
    <cfRule type="duplicateValues" dxfId="85" priority="37"/>
  </conditionalFormatting>
  <conditionalFormatting sqref="H420">
    <cfRule type="duplicateValues" dxfId="84" priority="32"/>
  </conditionalFormatting>
  <conditionalFormatting sqref="H421:H431 H405:H419">
    <cfRule type="duplicateValues" dxfId="83" priority="104"/>
  </conditionalFormatting>
  <conditionalFormatting sqref="H332 H404 H432:H455">
    <cfRule type="duplicateValues" dxfId="82" priority="99"/>
  </conditionalFormatting>
  <conditionalFormatting sqref="K332:K456">
    <cfRule type="cellIs" dxfId="81" priority="89" operator="equal">
      <formula>0</formula>
    </cfRule>
  </conditionalFormatting>
  <conditionalFormatting sqref="P332:P456">
    <cfRule type="cellIs" dxfId="80" priority="94" operator="greaterThan">
      <formula>0</formula>
    </cfRule>
  </conditionalFormatting>
  <conditionalFormatting sqref="P332:P456">
    <cfRule type="cellIs" dxfId="79" priority="27" operator="greaterThan">
      <formula>0.01</formula>
    </cfRule>
    <cfRule type="cellIs" dxfId="78" priority="88" operator="greaterThan">
      <formula>0.01</formula>
    </cfRule>
  </conditionalFormatting>
  <conditionalFormatting sqref="H456">
    <cfRule type="duplicateValues" dxfId="77" priority="23"/>
    <cfRule type="duplicateValues" dxfId="76" priority="24"/>
    <cfRule type="duplicateValues" dxfId="75" priority="25"/>
    <cfRule type="duplicateValues" dxfId="74" priority="26"/>
  </conditionalFormatting>
  <conditionalFormatting sqref="L346:L356">
    <cfRule type="cellIs" dxfId="73" priority="22" operator="equal">
      <formula>0</formula>
    </cfRule>
  </conditionalFormatting>
  <conditionalFormatting sqref="L360:L363">
    <cfRule type="cellIs" dxfId="72" priority="21" operator="equal">
      <formula>0</formula>
    </cfRule>
  </conditionalFormatting>
  <conditionalFormatting sqref="L368:L369">
    <cfRule type="cellIs" dxfId="71" priority="20" operator="equal">
      <formula>0</formula>
    </cfRule>
  </conditionalFormatting>
  <conditionalFormatting sqref="L375:L376">
    <cfRule type="cellIs" dxfId="70" priority="19" operator="equal">
      <formula>0</formula>
    </cfRule>
  </conditionalFormatting>
  <conditionalFormatting sqref="L378:L379">
    <cfRule type="cellIs" dxfId="69" priority="18" operator="equal">
      <formula>0</formula>
    </cfRule>
  </conditionalFormatting>
  <conditionalFormatting sqref="L384:L390">
    <cfRule type="cellIs" dxfId="68" priority="17" operator="equal">
      <formula>0</formula>
    </cfRule>
  </conditionalFormatting>
  <conditionalFormatting sqref="L392:L397">
    <cfRule type="cellIs" dxfId="67" priority="16" operator="equal">
      <formula>0</formula>
    </cfRule>
  </conditionalFormatting>
  <conditionalFormatting sqref="L399:L402">
    <cfRule type="cellIs" dxfId="66" priority="15" operator="equal">
      <formula>0</formula>
    </cfRule>
  </conditionalFormatting>
  <conditionalFormatting sqref="L15">
    <cfRule type="cellIs" dxfId="65" priority="12" operator="equal">
      <formula>0</formula>
    </cfRule>
  </conditionalFormatting>
  <conditionalFormatting sqref="L50">
    <cfRule type="cellIs" dxfId="64" priority="11" operator="equal">
      <formula>0</formula>
    </cfRule>
  </conditionalFormatting>
  <conditionalFormatting sqref="A237 A239 A241 B226:C226 C75:C76 C79:C80">
    <cfRule type="expression" priority="306">
      <formula>ISODD(SUMPRODUCT(1/COUNTIF($A$2:$A60,$A$2:$A60)))</formula>
    </cfRule>
  </conditionalFormatting>
  <conditionalFormatting sqref="B236:C236">
    <cfRule type="expression" priority="307">
      <formula>ISODD(SUMPRODUCT(1/COUNTIF($A$2:$A234,$A$2:$A234)))</formula>
    </cfRule>
  </conditionalFormatting>
  <conditionalFormatting sqref="A274:C274 A275:A280 B275:C276 C245:C247">
    <cfRule type="expression" priority="308">
      <formula>ISODD(SUMPRODUCT(1/COUNTIF($A$2:$A199,$A$2:$A199)))</formula>
    </cfRule>
  </conditionalFormatting>
  <conditionalFormatting sqref="C213 C218:C221">
    <cfRule type="expression" priority="309">
      <formula>ISODD(SUMPRODUCT(1/COUNTIF($A$2:$A244,$A$2:$A244)))</formula>
    </cfRule>
  </conditionalFormatting>
  <conditionalFormatting sqref="A229 A231 A233 A235 A225 A227 C195 C160">
    <cfRule type="expression" priority="310">
      <formula>ISODD(SUMPRODUCT(1/COUNTIF($A$2:$A143,$A$2:$A143)))</formula>
    </cfRule>
  </conditionalFormatting>
  <conditionalFormatting sqref="C214:C215">
    <cfRule type="expression" priority="311">
      <formula>ISODD(SUMPRODUCT(1/COUNTIF($A$2:$A244,$A$2:$A244)))</formula>
    </cfRule>
  </conditionalFormatting>
  <conditionalFormatting sqref="C48">
    <cfRule type="expression" priority="312">
      <formula>ISODD(SUMPRODUCT(1/COUNTIF($A$2:$A45,$A$2:$A45)))</formula>
    </cfRule>
  </conditionalFormatting>
  <conditionalFormatting sqref="A207:A220">
    <cfRule type="expression" priority="313">
      <formula>ISODD(SUMPRODUCT(1/COUNTIF($A$2:$A244,$A$2:$A244)))</formula>
    </cfRule>
  </conditionalFormatting>
  <conditionalFormatting sqref="C189:C190">
    <cfRule type="expression" priority="314">
      <formula>ISODD(SUMPRODUCT(1/COUNTIF($A$2:$A196,$A$2:$A196)))</formula>
    </cfRule>
  </conditionalFormatting>
  <conditionalFormatting sqref="C142 C148:C149">
    <cfRule type="expression" priority="315">
      <formula>ISODD(SUMPRODUCT(1/COUNTIF($A$2:$A88,$A$2:$A88)))</formula>
    </cfRule>
  </conditionalFormatting>
  <conditionalFormatting sqref="A255:C258">
    <cfRule type="expression" priority="316">
      <formula>ISODD(SUMPRODUCT(1/COUNTIF($A$2:$A298,$A$2:$A298)))</formula>
    </cfRule>
  </conditionalFormatting>
  <conditionalFormatting sqref="C82">
    <cfRule type="expression" priority="317">
      <formula>ISODD(SUMPRODUCT(1/COUNTIF($A$2:$A61,$A$2:$A61)))</formula>
    </cfRule>
  </conditionalFormatting>
  <conditionalFormatting sqref="G131:G132">
    <cfRule type="duplicateValues" dxfId="63" priority="2"/>
    <cfRule type="duplicateValues" dxfId="62" priority="3"/>
    <cfRule type="duplicateValues" dxfId="61" priority="4"/>
  </conditionalFormatting>
  <conditionalFormatting sqref="H131:H132">
    <cfRule type="duplicateValues" dxfId="60" priority="5"/>
  </conditionalFormatting>
  <conditionalFormatting sqref="G131:G132">
    <cfRule type="duplicateValues" dxfId="59" priority="6"/>
  </conditionalFormatting>
  <conditionalFormatting sqref="H131:H132">
    <cfRule type="duplicateValues" dxfId="58" priority="7"/>
  </conditionalFormatting>
  <conditionalFormatting sqref="G131:G132">
    <cfRule type="duplicateValues" dxfId="57" priority="8"/>
    <cfRule type="duplicateValues" dxfId="56" priority="9"/>
  </conditionalFormatting>
  <conditionalFormatting sqref="G131:G132">
    <cfRule type="duplicateValues" dxfId="55" priority="10"/>
  </conditionalFormatting>
  <conditionalFormatting sqref="A121:C121">
    <cfRule type="expression" priority="318">
      <formula>ISODD(SUMPRODUCT(1/COUNTIF($A$2:$A285,$A$2:$A285)))</formula>
    </cfRule>
  </conditionalFormatting>
  <conditionalFormatting sqref="G136">
    <cfRule type="duplicateValues" dxfId="54" priority="319"/>
    <cfRule type="duplicateValues" dxfId="53" priority="320"/>
    <cfRule type="duplicateValues" dxfId="52" priority="321"/>
  </conditionalFormatting>
  <conditionalFormatting sqref="H136">
    <cfRule type="duplicateValues" dxfId="51" priority="322"/>
  </conditionalFormatting>
  <conditionalFormatting sqref="C49:C50">
    <cfRule type="expression" priority="323">
      <formula>ISODD(SUMPRODUCT(1/COUNTIF($A$2:$A44,$A$2:$A44)))</formula>
    </cfRule>
  </conditionalFormatting>
  <conditionalFormatting sqref="G32:G47">
    <cfRule type="duplicateValues" dxfId="50" priority="324"/>
    <cfRule type="duplicateValues" dxfId="49" priority="325"/>
    <cfRule type="duplicateValues" dxfId="48" priority="326"/>
  </conditionalFormatting>
  <conditionalFormatting sqref="H32:H47">
    <cfRule type="duplicateValues" dxfId="47" priority="327"/>
  </conditionalFormatting>
  <conditionalFormatting sqref="C206 B237:C238">
    <cfRule type="expression" priority="328">
      <formula>ISODD(SUMPRODUCT(1/COUNTIF($A$2:$A202,$A$2:$A202)))</formula>
    </cfRule>
  </conditionalFormatting>
  <conditionalFormatting sqref="C84 C81 C86:C89 A85:C85">
    <cfRule type="expression" priority="329">
      <formula>ISODD(SUMPRODUCT(1/COUNTIF($A$2:$A61,$A$2:$A61)))</formula>
    </cfRule>
  </conditionalFormatting>
  <conditionalFormatting sqref="L301">
    <cfRule type="cellIs" dxfId="46" priority="1" operator="equal">
      <formula>0</formula>
    </cfRule>
  </conditionalFormatting>
  <conditionalFormatting sqref="H305:H314 H48:H50 H52:H53 H96:H105 H164 H93 H316:H331 H14:H31 H57:H91 H133:H136 H111:H130">
    <cfRule type="duplicateValues" dxfId="45" priority="330"/>
  </conditionalFormatting>
  <conditionalFormatting sqref="G305:G314 G48:G50 G96 G98:G105 G52:G53 G164 G93 G14:G31 G55:G91 G111:G130 G133:G136 G316:G331">
    <cfRule type="duplicateValues" dxfId="44" priority="331"/>
    <cfRule type="duplicateValues" dxfId="43" priority="332"/>
  </conditionalFormatting>
  <conditionalFormatting sqref="G305:G314 G96 G98:G105 G52:G53 G164 G93 G14:G50 G55:G91 G111:G130 G133:G136 G316:G331">
    <cfRule type="duplicateValues" dxfId="42" priority="333"/>
  </conditionalFormatting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&amp;R&amp;D</oddHeader>
    <oddFooter>&amp;R&amp;P</oddFooter>
  </headerFooter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PRECIOS 13-05-26</vt:lpstr>
      <vt:lpstr>'LISTA PRECIOS 13-05-26'!Títulos_a_imprimir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2026-05-14T15:27:25Z</dcterms:created>
  <dcterms:modified xsi:type="dcterms:W3CDTF">2026-05-14T15:29:19Z</dcterms:modified>
</cp:coreProperties>
</file>